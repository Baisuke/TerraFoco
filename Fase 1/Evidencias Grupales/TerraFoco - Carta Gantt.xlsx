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" sheetId="1" r:id="rId4"/>
    <sheet state="visible" name="Carta Gantt" sheetId="2" r:id="rId5"/>
    <sheet state="visible" name="Backlog" sheetId="3" r:id="rId6"/>
    <sheet state="visible" name="Sprints" sheetId="4" r:id="rId7"/>
    <sheet state="visible" name="Hitos" sheetId="5" r:id="rId8"/>
  </sheets>
  <definedNames>
    <definedName name="SemanaActual">Panel!$B$4</definedName>
    <definedName hidden="1" localSheetId="2" name="_xlnm._FilterDatabase">Backlog!$A$5:$J$36</definedName>
  </definedNames>
  <calcPr/>
  <extLst>
    <ext uri="GoogleSheetsCustomDataVersion2">
      <go:sheetsCustomData xmlns:go="http://customooxmlschemas.google.com/" r:id="rId9" roundtripDataChecksum="U8ioGorXqndg2KG9ZD3TeaLwx/Mjn93Z3/05vnbty0U="/>
    </ext>
  </extLst>
</workbook>
</file>

<file path=xl/sharedStrings.xml><?xml version="1.0" encoding="utf-8"?>
<sst xmlns="http://schemas.openxmlformats.org/spreadsheetml/2006/main" count="522" uniqueCount="300">
  <si>
    <t>TerraFoco - Carta Gantt</t>
  </si>
  <si>
    <t xml:space="preserve">Backlog </t>
  </si>
  <si>
    <t>Planificación de sprints</t>
  </si>
  <si>
    <t>Sistema de evaluación de pertinencia territorial de la inversión pública en recuperación de suelos · Región de O'Higgins</t>
  </si>
  <si>
    <t>Seis iteraciones de tres semanas ancladas al lunes 10-08-2026. Los puntos y el estado se calculan desde la hoja "Backlog".</t>
  </si>
  <si>
    <t>Estado válido: Terminada · En curso · No iniciada · Fuera del compromiso. La columna Sprint asigna la historia a una iteración.</t>
  </si>
  <si>
    <t>Estado y avance se calculan desde la hoja «Backlog»; las barras, desde las columnas Inicio y Fin. Solo se editan Inicio, Fin y la fecha del sistema.</t>
  </si>
  <si>
    <t>Sprint</t>
  </si>
  <si>
    <t>ID</t>
  </si>
  <si>
    <t>Actividad</t>
  </si>
  <si>
    <t>Semanas</t>
  </si>
  <si>
    <t>Historia de usuario</t>
  </si>
  <si>
    <t>Desde</t>
  </si>
  <si>
    <t>Épica</t>
  </si>
  <si>
    <t>Hasta</t>
  </si>
  <si>
    <t>Pts</t>
  </si>
  <si>
    <t>Foco</t>
  </si>
  <si>
    <t>Responsable de seguimiento</t>
  </si>
  <si>
    <t>MoSCoW</t>
  </si>
  <si>
    <t>Pts comprometidos</t>
  </si>
  <si>
    <t>Terminados</t>
  </si>
  <si>
    <t>Estado</t>
  </si>
  <si>
    <t>Avance</t>
  </si>
  <si>
    <t>Inicio</t>
  </si>
  <si>
    <t>Incremento demostrable</t>
  </si>
  <si>
    <t>Actividad de la carta Gantt</t>
  </si>
  <si>
    <t>Fin</t>
  </si>
  <si>
    <t>Evidencia en el repositorio</t>
  </si>
  <si>
    <t>HU-01</t>
  </si>
  <si>
    <t>Sprint 0</t>
  </si>
  <si>
    <t>Modelo de datos espacial en PostGIS con versionado temporal</t>
  </si>
  <si>
    <t>1 a 3</t>
  </si>
  <si>
    <t>E1</t>
  </si>
  <si>
    <t>Must</t>
  </si>
  <si>
    <t>10-08-2026</t>
  </si>
  <si>
    <t>28-08-2026</t>
  </si>
  <si>
    <t>Fase 1</t>
  </si>
  <si>
    <t>Configuración, arquitectura y modelo de datos</t>
  </si>
  <si>
    <t>Terminada</t>
  </si>
  <si>
    <t>Infraestructura y modelo de datos</t>
  </si>
  <si>
    <t>Bastián Cárcamo</t>
  </si>
  <si>
    <t>bd/esquema.sql: 17 tablas en cuatro esquemas más cuatro migraciones numeradas. El versionado está en indicadores.erosion_r y susceptibilidad_inundacion_r</t>
  </si>
  <si>
    <t>Fase 2</t>
  </si>
  <si>
    <t>HU-02</t>
  </si>
  <si>
    <t>Descarga automática de imágenes Sentinel-2</t>
  </si>
  <si>
    <t>Ingesta de fuentes satelitales y de terreno</t>
  </si>
  <si>
    <t>motor/ingesta/sentinel.py, con composición mensual para descartar píxeles nublados</t>
  </si>
  <si>
    <t>Fase 3</t>
  </si>
  <si>
    <t>HU-03</t>
  </si>
  <si>
    <t>Descarga del modelo de elevación SRTM</t>
  </si>
  <si>
    <t>motor/ingesta/srtm.py, con opción --solo-preparar</t>
  </si>
  <si>
    <t>HU-04</t>
  </si>
  <si>
    <t>Reproyección y recorte automáticos de los insumos</t>
  </si>
  <si>
    <t>Sprint 1</t>
  </si>
  <si>
    <t>motor/ingesta/zonal.py reproyecta en PostGIS y rechaza rásteres en grados; vectorial.py para las capas vectoriales. 14 casos en test_zonal.py</t>
  </si>
  <si>
    <t>HU-05</t>
  </si>
  <si>
    <t>Consulta de la bitácora de ejecuciones</t>
  </si>
  <si>
    <t>Should</t>
  </si>
  <si>
    <t>Carla Morales</t>
  </si>
  <si>
    <t>Clase Bitacora en motor/bd.py, módulo motor/estado.py y tabla operacion.ejecucion_proceso</t>
  </si>
  <si>
    <t>Sprint 2</t>
  </si>
  <si>
    <t>HU-06</t>
  </si>
  <si>
    <t>Consolidación de las planillas de Transparencia Activa</t>
  </si>
  <si>
    <t>E2</t>
  </si>
  <si>
    <t>Sprint 3</t>
  </si>
  <si>
    <t>Ingesta de la ejecución del SIRSD-S</t>
  </si>
  <si>
    <t>motor/ingesta/sirsd_ide.py agrega por comuna y temporada y deriva a programas.ejecucion_rechazada lo no identificable. 17 pruebas en test_sirsd.py</t>
  </si>
  <si>
    <t>Sprint 4</t>
  </si>
  <si>
    <t>HU-07</t>
  </si>
  <si>
    <t>Validación de los montos contra las series de ODEPA</t>
  </si>
  <si>
    <t>Cierre</t>
  </si>
  <si>
    <t>No iniciada</t>
  </si>
  <si>
    <t>Validación de montos contra las series de ODEPA</t>
  </si>
  <si>
    <t>ODEPA solo se menciona en docs/01 y docs/05. No hay módulo ni consulta</t>
  </si>
  <si>
    <t>HU-08</t>
  </si>
  <si>
    <t>Gestión de la solicitud de acceso a información pública</t>
  </si>
  <si>
    <t>En curso</t>
  </si>
  <si>
    <t>Gestión con INDAP: serie histórica del SIRSD-S</t>
  </si>
  <si>
    <t>docs/11-solicitud-datos-indap.md redactado y gestión abierta. El servicio de IDE MINAGRI cubre un solo año</t>
  </si>
  <si>
    <t>HU-09</t>
  </si>
  <si>
    <t>Cálculo del NDVI desde Sentinel-2 para el factor C</t>
  </si>
  <si>
    <t>Entorno en contenedores operativo, esquema espacial migrado, descarga automática de Sentinel-2 y SRTM, y batería de pruebas en marcha</t>
  </si>
  <si>
    <t>E3</t>
  </si>
  <si>
    <t>4 a 6</t>
  </si>
  <si>
    <t>31-08-2026</t>
  </si>
  <si>
    <t>18-09-2026</t>
  </si>
  <si>
    <t>Motor de cálculo del modelo RUSLE</t>
  </si>
  <si>
    <t>Núcleo, módulo de erosión y cruce con la inversión</t>
  </si>
  <si>
    <t>motor/ingesta/sentinel.py deriva el NDVI y de ahí el factor C</t>
  </si>
  <si>
    <t>10/08</t>
  </si>
  <si>
    <t>HU-10</t>
  </si>
  <si>
    <t>Pendiente y longitud desde el SRTM para el factor LS</t>
  </si>
  <si>
    <t>17/08</t>
  </si>
  <si>
    <t>24/08</t>
  </si>
  <si>
    <t>31/08</t>
  </si>
  <si>
    <t>07/09</t>
  </si>
  <si>
    <t>14/09</t>
  </si>
  <si>
    <t>21/09</t>
  </si>
  <si>
    <t>28/09</t>
  </si>
  <si>
    <t>motor/indicadores/terreno.py: pendiente_horn, ls_desde_pendiente, ls_de_comuna. 31 casos en test_terreno.py</t>
  </si>
  <si>
    <t>05/10</t>
  </si>
  <si>
    <t>12/10</t>
  </si>
  <si>
    <t>HU-11</t>
  </si>
  <si>
    <t>19/10</t>
  </si>
  <si>
    <t>Erosión estimada por comuna aplicando RUSLE</t>
  </si>
  <si>
    <t>26/10</t>
  </si>
  <si>
    <t>02/11</t>
  </si>
  <si>
    <t>09/11</t>
  </si>
  <si>
    <t>16/11</t>
  </si>
  <si>
    <t>23/11</t>
  </si>
  <si>
    <t>Bastián Cárcamo y Antonio Lankin</t>
  </si>
  <si>
    <t>rusle.py y calcular.py aplican A = R·K·LS·C·P con los cinco factores alimentados por cr2met, soilgrids, zonal, sentinel y practicas</t>
  </si>
  <si>
    <t>Definición del proyecto y fuentes</t>
  </si>
  <si>
    <t>HU-12</t>
  </si>
  <si>
    <t>Comparación de la erosión estimada con la línea base de CIREN</t>
  </si>
  <si>
    <t>Equipo completo</t>
  </si>
  <si>
    <t>Validación del modelo y dominio de validez</t>
  </si>
  <si>
    <t>ciren.py descarga por WFS; migraciones 003 y 004 y el campo en_dominio sostienen la comparación</t>
  </si>
  <si>
    <t>HU-13</t>
  </si>
  <si>
    <t>Índice que relaciona erosión con inversión recibida</t>
  </si>
  <si>
    <t>Índice de pertinencia y publicación en la API</t>
  </si>
  <si>
    <t>Antonio Lankin</t>
  </si>
  <si>
    <t>api/rutas/pertinencia.py expone /pertinencia, /origenes y /{id_comuna}; migración 001</t>
  </si>
  <si>
    <t>HU-14</t>
  </si>
  <si>
    <t>Ranking comunal ordenado por brecha</t>
  </si>
  <si>
    <t>Cinco factores RUSLE con datos medidos para las 33 comunas, índice de pertinencia expuesto por la API y visor con cartografía real, ficha comunal y detalle de erosión por píxel</t>
  </si>
  <si>
    <t>Ordenamiento por brecha en api/rutas/pertinencia.py, consumido por el visor</t>
  </si>
  <si>
    <t>7 a 9</t>
  </si>
  <si>
    <t>HU-15</t>
  </si>
  <si>
    <t>21-09-2026</t>
  </si>
  <si>
    <t>Acumulación de flujo y distancia a cauces desde el DEM</t>
  </si>
  <si>
    <t>E4</t>
  </si>
  <si>
    <t>09-10-2026</t>
  </si>
  <si>
    <t>Cierre del eje de inversión pública e inicio de inundaciones</t>
  </si>
  <si>
    <t>Módulo 2 — susceptibilidad a inundaciones</t>
  </si>
  <si>
    <t>terreno.py declara que no usa acumulación de flujo y aproxima la longitud desde la pendiente. No hay módulo hidrológico</t>
  </si>
  <si>
    <t>HU-16</t>
  </si>
  <si>
    <t>Índice de susceptibilidad a inundación por comuna</t>
  </si>
  <si>
    <t>La tabla existe vacía. prototipo/inundaciones.html funciona con datos de ejemplo: no carga js/datos-api.js</t>
  </si>
  <si>
    <t>HU-17</t>
  </si>
  <si>
    <t>Contraste del índice con los eventos históricos de SENAPRED</t>
  </si>
  <si>
    <t>SENAPRED figura como tarea programada y como tabla, sin módulo de ingesta</t>
  </si>
  <si>
    <t>HU-18</t>
  </si>
  <si>
    <t>Temperatura superficial desde las bandas térmicas de Landsat</t>
  </si>
  <si>
    <t>E5</t>
  </si>
  <si>
    <t>Módulo 3 — condición térmica urbana</t>
  </si>
  <si>
    <t>Landsat figura como tarea programada y como tabla, sin módulo de ingesta</t>
  </si>
  <si>
    <t>HU-19</t>
  </si>
  <si>
    <t>Área verde por habitante por unidad vecinal</t>
  </si>
  <si>
    <t>Las tablas indicadores.urbano y territorio.unidad_vecinal existen vacías. urbano.html usa datos de ejemplo</t>
  </si>
  <si>
    <t>HU-20</t>
  </si>
  <si>
    <t>Mapa de comunas coloreado según el indicador</t>
  </si>
  <si>
    <t>E6</t>
  </si>
  <si>
    <t>Visor cartográfico y detalle intracomunal</t>
  </si>
  <si>
    <t>prototipo/js/mapa-real.js sobre datos/comunas.geojson con la cartografía real</t>
  </si>
  <si>
    <t>HU-21</t>
  </si>
  <si>
    <t>Panel para cambiar la capa temática</t>
  </si>
  <si>
    <t>prototipo/js/shell.js arma los controles de región y el cambio de capa</t>
  </si>
  <si>
    <t>HU-22</t>
  </si>
  <si>
    <t>Ficha de detalle de una comuna</t>
  </si>
  <si>
    <t>comuna.html y js/detalle-comuna.js. mapa_erosion.py genera el detalle por píxel a 30 m: 33 imágenes en datos/erosion/</t>
  </si>
  <si>
    <t>HU-23</t>
  </si>
  <si>
    <t>Serie histórica del SIRSD-S incorporada, consistencia validada contra ODEPA, derivados hidrológicos del modelo de elevación y plan de pruebas documentado</t>
  </si>
  <si>
    <t>Exportación de un reporte de la región</t>
  </si>
  <si>
    <t>Could</t>
  </si>
  <si>
    <t>10 a 12</t>
  </si>
  <si>
    <t>12-10-2026</t>
  </si>
  <si>
    <t>Exportación de reportes y comprensibilidad del visor</t>
  </si>
  <si>
    <t>30-10-2026</t>
  </si>
  <si>
    <t>Módulo de inundaciones y visor terminado</t>
  </si>
  <si>
    <t>El botón Exportar existe en shell.js y se inserta en tres pantallas, pero no tiene manejador</t>
  </si>
  <si>
    <t>HU-24</t>
  </si>
  <si>
    <t>Interfaz comprensible sin capacitación previa</t>
  </si>
  <si>
    <t>Sin evidencia de validación de comprensibilidad ni de glosario accesible</t>
  </si>
  <si>
    <t>HU-25</t>
  </si>
  <si>
    <t>Evaluación de tres algoritmos de clasificación</t>
  </si>
  <si>
    <t>E7</t>
  </si>
  <si>
    <t>Sin asignar</t>
  </si>
  <si>
    <t>Fuera del compromiso</t>
  </si>
  <si>
    <t>Modelado predictivo</t>
  </si>
  <si>
    <t>—</t>
  </si>
  <si>
    <t>No hay scikit-learn ni algoritmos en el repositorio</t>
  </si>
  <si>
    <t>HU-26</t>
  </si>
  <si>
    <t>Métricas comparadas de los tres algoritmos</t>
  </si>
  <si>
    <t>Sin métricas comparadas</t>
  </si>
  <si>
    <t>HU-27</t>
  </si>
  <si>
    <t>Importancia de las variables en la predicción</t>
  </si>
  <si>
    <t>Sin análisis de importancia de variables</t>
  </si>
  <si>
    <t>HU-28</t>
  </si>
  <si>
    <t>Plan de pruebas con casos definidos</t>
  </si>
  <si>
    <t>E8</t>
  </si>
  <si>
    <t>Plan de pruebas y validación con usuarios</t>
  </si>
  <si>
    <t>No hay plan de pruebas documentado. docs/04-plan-piloto.md es el plan de pilotaje, no de pruebas</t>
  </si>
  <si>
    <t>HU-29</t>
  </si>
  <si>
    <t>Pruebas automatizadas de los cálculos de indicadores</t>
  </si>
  <si>
    <t>Índice de susceptibilidad por comuna contrastado con eventos de SENAPRED, exportación de reporte y visor validado en comprensibilidad</t>
  </si>
  <si>
    <t>Pruebas automatizadas del motor</t>
  </si>
  <si>
    <t>101 funciones de prueba en seis archivos de motor/tests, cuatro parametrizadas. Corren sin base de datos ni red</t>
  </si>
  <si>
    <t>13 a 15</t>
  </si>
  <si>
    <t>HU-30</t>
  </si>
  <si>
    <t>02-11-2026</t>
  </si>
  <si>
    <t>Prueba de usabilidad con la contraparte del piloto</t>
  </si>
  <si>
    <t>20-11-2026</t>
  </si>
  <si>
    <t>Módulo urbano, validación con usuarios y cierre documental</t>
  </si>
  <si>
    <t>La contraparte está identificada en docs/04-plan-piloto.md, la prueba no se ha ejecutado</t>
  </si>
  <si>
    <t>HU-31</t>
  </si>
  <si>
    <t>Documentación del proceso analítico según CRISP-DM</t>
  </si>
  <si>
    <t>Trazabilidad metodológica CRISP-DM</t>
  </si>
  <si>
    <t>CRISP-DM se menciona en docs/01 y docs/05, sin documento que deje trazabilidad de las seis fases</t>
  </si>
  <si>
    <t>Panel de control</t>
  </si>
  <si>
    <t>Temperatura superficial y déficit de áreas verdes publicados, prueba de usabilidad ejecutada con la contraparte y proceso analítico documentado según CRISP-DM</t>
  </si>
  <si>
    <t>Todo lo de esta hoja se calcula desde la hoja "Backlog". No editar nada aquí.</t>
  </si>
  <si>
    <t>16</t>
  </si>
  <si>
    <t>23-11-2026</t>
  </si>
  <si>
    <t>24-11-2026</t>
  </si>
  <si>
    <t>Congelación, informe y defensa</t>
  </si>
  <si>
    <t>Semana en curso</t>
  </si>
  <si>
    <t>Código congelado el viernes 20 de noviembre, informe final entregado y presentación ensayada</t>
  </si>
  <si>
    <t>Velocidad y holgura</t>
  </si>
  <si>
    <t>Velocidad estimada al inicio: 25 puntos por sprint. Verificada en los sprints 0 y 1: 26 y 73 puntos, cerca de 50 de promedio.</t>
  </si>
  <si>
    <t>La velocidad observada no se proyecta hacia adelante: los sprints 0 y 1 avanzaron sobre un prototipo previo y sobre fuentes ya identificadas, mientras que lo que queda depende de fuentes nuevas y de una aprobación externa del USGS.</t>
  </si>
  <si>
    <t>La épica E7 de modelado predictivo (16 puntos) está clasificada como Could y queda fuera del compromiso. Se aborda solo si el sprint 3 cierra antes de tiempo.</t>
  </si>
  <si>
    <t>Se calcula con la fecha de hoy. La semana 1 empieza el lunes 10-08-2026.</t>
  </si>
  <si>
    <t>Indicadores</t>
  </si>
  <si>
    <t>Puntos del backlog</t>
  </si>
  <si>
    <t>Alcance comprometido</t>
  </si>
  <si>
    <t>Pendientes comprometidos</t>
  </si>
  <si>
    <t>Avance del compromiso</t>
  </si>
  <si>
    <t>Adelanto sobre el ritmo esperado</t>
  </si>
  <si>
    <t>Cierre por sprint - alimenta el burndown</t>
  </si>
  <si>
    <t>Hito</t>
  </si>
  <si>
    <t>Cerrado en el sprint</t>
  </si>
  <si>
    <t>Pendiente planificado</t>
  </si>
  <si>
    <t>Pendiente real</t>
  </si>
  <si>
    <t>Referencia lineal</t>
  </si>
  <si>
    <t>Hitos del calendario</t>
  </si>
  <si>
    <t>Fechas del cronograma de la asignatura. La fecha de la defensa está por confirmar con la docente guía.</t>
  </si>
  <si>
    <t>Semana</t>
  </si>
  <si>
    <t>Fechas</t>
  </si>
  <si>
    <t>Tipo</t>
  </si>
  <si>
    <t>Qué debe estar listo</t>
  </si>
  <si>
    <t>4</t>
  </si>
  <si>
    <t>31 ago – 5 sep</t>
  </si>
  <si>
    <t>Presentación del proyecto</t>
  </si>
  <si>
    <t>Sumativa Fase 1</t>
  </si>
  <si>
    <t>Definición del proyecto, objetivos, metodología, plan de trabajo y evidencias comprometidas.</t>
  </si>
  <si>
    <t>6</t>
  </si>
  <si>
    <t>14 – 19 sep</t>
  </si>
  <si>
    <t>Entrega de objetivos, metodología y cronograma actualizados</t>
  </si>
  <si>
    <t>Formativa</t>
  </si>
  <si>
    <t>Esta planilla, el informe corregido y el modelo de proceso actualizado.</t>
  </si>
  <si>
    <t>10</t>
  </si>
  <si>
    <t>12 – 17 oct</t>
  </si>
  <si>
    <t>Evaluación de avance</t>
  </si>
  <si>
    <t>Índice de pertinencia operativo con datos reales y visor navegable. Sin presentación.</t>
  </si>
  <si>
    <t>15</t>
  </si>
  <si>
    <t>16 – 21 nov</t>
  </si>
  <si>
    <t>Presentación del desarrollo y resultados</t>
  </si>
  <si>
    <t>Sumativa Fase 2</t>
  </si>
  <si>
    <t>Sistema completo con los tres módulos. El índice de pertinencia es innegociable; los módulos complementarios se presentan según el criterio de recorte.</t>
  </si>
  <si>
    <t>24 nov</t>
  </si>
  <si>
    <t>Defensa final</t>
  </si>
  <si>
    <t>Sumativa Fase 3</t>
  </si>
  <si>
    <t>Código congelado el viernes 20 de noviembre. Informe final, resultados y presentación ensayada.</t>
  </si>
  <si>
    <t>Estado por épica</t>
  </si>
  <si>
    <t>E1 · Núcleo de procesamiento geoespacial</t>
  </si>
  <si>
    <t>E2 · Datos de inversión pública</t>
  </si>
  <si>
    <t>E3 · Módulo de erosión y pertinencia</t>
  </si>
  <si>
    <t>E4 · Susceptibilidad a inundación</t>
  </si>
  <si>
    <t>E5 · Módulo térmico y urbano</t>
  </si>
  <si>
    <t>E6 · Presentación y experiencia de usuario</t>
  </si>
  <si>
    <t>E7 · Modelado predictivo</t>
  </si>
  <si>
    <t>E8 · Calidad, validación y cierre</t>
  </si>
  <si>
    <t>Datos del gráfico - no editar, salvo la columna amarilla</t>
  </si>
  <si>
    <t>Avance esperado</t>
  </si>
  <si>
    <t>Plan de sprints</t>
  </si>
  <si>
    <t>Registro semanal</t>
  </si>
  <si>
    <t>Fecha del viernes</t>
  </si>
  <si>
    <t>14-08-2026</t>
  </si>
  <si>
    <t>21-08-2026</t>
  </si>
  <si>
    <t>04-09-2026</t>
  </si>
  <si>
    <t>11-09-2026</t>
  </si>
  <si>
    <t>25-09-2026</t>
  </si>
  <si>
    <t>02-10-2026</t>
  </si>
  <si>
    <t>16-10-2026</t>
  </si>
  <si>
    <t>23-10-2026</t>
  </si>
  <si>
    <t>06-11-2026</t>
  </si>
  <si>
    <t>13-11-2026</t>
  </si>
  <si>
    <t>27-11-2026</t>
  </si>
  <si>
    <t>La columna amarilla "Registro semanal" es lo único que se anota a mano en esta hoja: cada viernes, cuántos puntos del alcance comprometido quedan pendientes. Sale de restar "Terminados" a "Alcance comprometido" en los indicadores de arriba. Si una semana queda en blanco, el gráfico la rellena con el último cierre de sprint conocido y la línea se ve plana.</t>
  </si>
  <si>
    <t>Módulo 2 - susceptibilidad a inundaciones</t>
  </si>
  <si>
    <t>Módulo 3 - condición térmica urbana</t>
  </si>
  <si>
    <t>Documentación técnica versionada</t>
  </si>
  <si>
    <t>Informe final, resultados y defensa</t>
  </si>
  <si>
    <t>-</t>
  </si>
  <si>
    <t>Hitos de evaluación</t>
  </si>
  <si>
    <t>◆</t>
  </si>
  <si>
    <t>Defensa</t>
  </si>
  <si>
    <t>Actividades en paralelo</t>
  </si>
  <si>
    <t>Las barras se dibujan solas desde Inicio y Fin: color fuerte hasta la semana en curso, tono claro después. La semana en curso va destacada en rojo y se calcula con la fecha del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</si>
</sst>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S&quot;0"/>
  </numFmts>
  <fonts count="28">
    <font>
      <sz val="11.0"/>
      <color theme="1"/>
      <name val="Calibri"/>
      <scheme val="minor"/>
    </font>
    <font>
      <b/>
      <sz val="15.0"/>
      <color rgb="FF1F3864"/>
      <name val="Calibri"/>
    </font>
    <font>
      <i/>
      <sz val="10.0"/>
      <color rgb="FF404040"/>
      <name val="Calibri"/>
    </font>
    <font>
      <sz val="9.0"/>
      <color rgb="FF808080"/>
      <name val="Calibri"/>
    </font>
    <font>
      <b/>
      <sz val="9.0"/>
      <color rgb="FFFFFFFF"/>
      <name val="Calibri"/>
    </font>
    <font>
      <sz val="8.0"/>
      <color theme="1"/>
      <name val="Calibri"/>
    </font>
    <font>
      <b/>
      <sz val="9.0"/>
      <color rgb="FF1F3864"/>
      <name val="Calibri"/>
    </font>
    <font>
      <sz val="9.0"/>
      <color theme="1"/>
      <name val="Calibri"/>
    </font>
    <font/>
    <font>
      <b/>
      <sz val="8.0"/>
      <color theme="1"/>
      <name val="Calibri"/>
    </font>
    <font>
      <b/>
      <sz val="8.0"/>
      <color rgb="FF1F3864"/>
      <name val="Calibri"/>
    </font>
    <font>
      <sz val="7.0"/>
      <color rgb="FF808080"/>
      <name val="Calibri"/>
    </font>
    <font>
      <sz val="11.0"/>
      <color theme="1"/>
      <name val="Calibri"/>
    </font>
    <font>
      <sz val="8.0"/>
      <color rgb="FFFFFFFF"/>
      <name val="Calibri"/>
    </font>
    <font>
      <b/>
      <sz val="10.0"/>
      <color rgb="FF1F3864"/>
      <name val="Calibri"/>
    </font>
    <font>
      <b/>
      <sz val="11.0"/>
      <color rgb="FF1F3864"/>
      <name val="Calibri"/>
    </font>
    <font>
      <b/>
      <sz val="12.0"/>
      <color rgb="FFC00000"/>
      <name val="Calibri"/>
    </font>
    <font>
      <i/>
      <sz val="9.0"/>
      <color rgb="FF808080"/>
      <name val="Calibri"/>
    </font>
    <font>
      <i/>
      <sz val="9.0"/>
      <color rgb="FFC00000"/>
      <name val="Calibri"/>
    </font>
    <font>
      <b/>
      <sz val="10.0"/>
      <color rgb="FF808080"/>
      <name val="Calibri"/>
    </font>
    <font>
      <b/>
      <sz val="9.0"/>
      <color rgb="FF3F3000"/>
      <name val="Calibri"/>
    </font>
    <font>
      <b/>
      <sz val="9.0"/>
      <color rgb="FF7F6000"/>
      <name val="Calibri"/>
    </font>
    <font>
      <sz val="8.0"/>
      <color rgb="FF808080"/>
      <name val="Calibri"/>
    </font>
    <font>
      <i/>
      <sz val="9.0"/>
      <color rgb="FF7F6000"/>
      <name val="Calibri"/>
    </font>
    <font>
      <b/>
      <sz val="11.0"/>
      <color rgb="FFC00000"/>
      <name val="Calibri"/>
    </font>
    <font>
      <sz val="7.0"/>
      <color rgb="FFC00000"/>
      <name val="Calibri"/>
    </font>
    <font>
      <b/>
      <sz val="8.0"/>
      <color rgb="FF808080"/>
      <name val="Calibri"/>
    </font>
    <font>
      <i/>
      <sz val="8.0"/>
      <color rgb="FF80808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7F2"/>
        <bgColor rgb="FFDEE7F2"/>
      </patternFill>
    </fill>
    <fill>
      <patternFill patternType="solid">
        <fgColor rgb="FFEDA100"/>
        <bgColor rgb="FFEDA100"/>
      </patternFill>
    </fill>
    <fill>
      <patternFill patternType="solid">
        <fgColor rgb="FFFFF2CC"/>
        <bgColor rgb="FFFFF2CC"/>
      </patternFill>
    </fill>
  </fills>
  <borders count="12">
    <border/>
    <border>
      <left/>
      <right/>
      <top/>
      <bottom/>
    </border>
    <border>
      <left/>
      <right/>
      <top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right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top" wrapText="1"/>
    </xf>
    <xf borderId="3" fillId="0" fontId="6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shrinkToFit="0" vertical="top" wrapText="1"/>
    </xf>
    <xf borderId="3" fillId="0" fontId="7" numFmtId="0" xfId="0" applyAlignment="1" applyBorder="1" applyFont="1">
      <alignment horizontal="center" shrinkToFit="0" vertical="top" wrapText="1"/>
    </xf>
    <xf borderId="3" fillId="0" fontId="7" numFmtId="0" xfId="0" applyAlignment="1" applyBorder="1" applyFont="1">
      <alignment horizontal="left" shrinkToFit="0" vertical="top" wrapText="1"/>
    </xf>
    <xf borderId="4" fillId="2" fontId="4" numFmtId="0" xfId="0" applyAlignment="1" applyBorder="1" applyFill="1" applyFont="1">
      <alignment horizontal="center"/>
    </xf>
    <xf borderId="5" fillId="0" fontId="8" numFmtId="0" xfId="0" applyBorder="1" applyFont="1"/>
    <xf borderId="3" fillId="0" fontId="9" numFmtId="0" xfId="0" applyAlignment="1" applyBorder="1" applyFont="1">
      <alignment horizontal="center" shrinkToFit="0" vertical="top" wrapText="1"/>
    </xf>
    <xf borderId="6" fillId="0" fontId="8" numFmtId="0" xfId="0" applyBorder="1" applyFont="1"/>
    <xf borderId="1" fillId="2" fontId="4" numFmtId="0" xfId="0" applyAlignment="1" applyBorder="1" applyFill="1" applyFont="1">
      <alignment horizontal="center"/>
    </xf>
    <xf borderId="7" fillId="0" fontId="8" numFmtId="0" xfId="0" applyBorder="1" applyFont="1"/>
    <xf borderId="8" fillId="3" fontId="10" numFmtId="0" xfId="0" applyAlignment="1" applyBorder="1" applyFill="1" applyFont="1">
      <alignment horizontal="center"/>
    </xf>
    <xf borderId="9" fillId="0" fontId="8" numFmtId="0" xfId="0" applyBorder="1" applyFont="1"/>
    <xf borderId="10" fillId="0" fontId="8" numFmtId="0" xfId="0" applyBorder="1" applyFont="1"/>
    <xf borderId="3" fillId="3" fontId="10" numFmtId="0" xfId="0" applyAlignment="1" applyBorder="1" applyFill="1" applyFont="1">
      <alignment horizontal="center"/>
    </xf>
    <xf borderId="3" fillId="0" fontId="9" numFmtId="164" xfId="0" applyAlignment="1" applyBorder="1" applyFont="1" applyNumberFormat="1">
      <alignment horizontal="center"/>
    </xf>
    <xf borderId="3" fillId="0" fontId="7" numFmtId="9" xfId="0" applyAlignment="1" applyBorder="1" applyFont="1" applyNumberFormat="1">
      <alignment horizontal="center" shrinkToFit="0" vertical="top" wrapText="1"/>
    </xf>
    <xf borderId="11" fillId="0" fontId="8" numFmtId="0" xfId="0" applyBorder="1" applyFont="1"/>
    <xf borderId="3" fillId="0" fontId="11" numFmtId="0" xfId="0" applyAlignment="1" applyBorder="1" applyFont="1">
      <alignment horizontal="center"/>
    </xf>
    <xf borderId="3" fillId="0" fontId="7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0" fontId="12" numFmtId="0" xfId="0" applyBorder="1" applyFont="1"/>
    <xf borderId="3" fillId="0" fontId="9" numFmtId="0" xfId="0" applyAlignment="1" applyBorder="1" applyFont="1">
      <alignment horizontal="center"/>
    </xf>
    <xf borderId="3" fillId="0" fontId="5" numFmtId="9" xfId="0" applyAlignment="1" applyBorder="1" applyFont="1" applyNumberFormat="1">
      <alignment horizontal="center"/>
    </xf>
    <xf borderId="3" fillId="0" fontId="13" numFmtId="0" xfId="0" applyAlignment="1" applyBorder="1" applyFont="1">
      <alignment horizontal="center"/>
    </xf>
    <xf borderId="0" fillId="0" fontId="14" numFmtId="0" xfId="0" applyFont="1"/>
    <xf borderId="0" fillId="0" fontId="15" numFmtId="0" xfId="0" applyFont="1"/>
    <xf borderId="0" fillId="0" fontId="7" numFmtId="0" xfId="0" applyAlignment="1" applyFont="1">
      <alignment shrinkToFit="0" vertical="top" wrapText="1"/>
    </xf>
    <xf borderId="0" fillId="0" fontId="16" numFmtId="0" xfId="0" applyAlignment="1" applyFont="1">
      <alignment horizontal="center"/>
    </xf>
    <xf borderId="0" fillId="0" fontId="17" numFmtId="0" xfId="0" applyFont="1"/>
    <xf borderId="0" fillId="0" fontId="7" numFmtId="0" xfId="0" applyFont="1"/>
    <xf borderId="3" fillId="0" fontId="14" numFmtId="0" xfId="0" applyAlignment="1" applyBorder="1" applyFont="1">
      <alignment horizontal="center"/>
    </xf>
    <xf borderId="3" fillId="0" fontId="14" numFmtId="9" xfId="0" applyAlignment="1" applyBorder="1" applyFont="1" applyNumberFormat="1">
      <alignment horizontal="center"/>
    </xf>
    <xf borderId="0" fillId="0" fontId="15" numFmtId="0" xfId="0" applyAlignment="1" applyFont="1">
      <alignment readingOrder="0"/>
    </xf>
    <xf borderId="1" fillId="2" fontId="4" numFmtId="0" xfId="0" applyAlignment="1" applyBorder="1" applyFill="1" applyFont="1">
      <alignment horizontal="center" shrinkToFit="0" wrapText="1"/>
    </xf>
    <xf borderId="3" fillId="0" fontId="7" numFmtId="0" xfId="0" applyAlignment="1" applyBorder="1" applyFont="1">
      <alignment horizontal="left"/>
    </xf>
    <xf borderId="3" fillId="0" fontId="7" numFmtId="1" xfId="0" applyAlignment="1" applyBorder="1" applyFont="1" applyNumberFormat="1">
      <alignment horizontal="center"/>
    </xf>
    <xf borderId="0" fillId="0" fontId="18" numFmtId="0" xfId="0" applyAlignment="1" applyFont="1">
      <alignment shrinkToFit="0" vertical="top" wrapText="1"/>
    </xf>
    <xf borderId="3" fillId="0" fontId="7" numFmtId="0" xfId="0" applyBorder="1" applyFont="1"/>
    <xf borderId="3" fillId="0" fontId="7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1" fillId="4" fontId="20" numFmtId="0" xfId="0" applyAlignment="1" applyBorder="1" applyFill="1" applyFont="1">
      <alignment horizontal="center" shrinkToFit="0" wrapText="1"/>
    </xf>
    <xf borderId="3" fillId="0" fontId="5" numFmtId="0" xfId="0" applyAlignment="1" applyBorder="1" applyFont="1">
      <alignment horizontal="center"/>
    </xf>
    <xf borderId="3" fillId="0" fontId="5" numFmtId="1" xfId="0" applyAlignment="1" applyBorder="1" applyFont="1" applyNumberFormat="1">
      <alignment horizontal="center"/>
    </xf>
    <xf borderId="3" fillId="5" fontId="21" numFmtId="1" xfId="0" applyAlignment="1" applyBorder="1" applyFill="1" applyFont="1" applyNumberFormat="1">
      <alignment horizontal="center"/>
    </xf>
    <xf borderId="3" fillId="0" fontId="22" numFmtId="0" xfId="0" applyAlignment="1" applyBorder="1" applyFont="1">
      <alignment horizontal="center"/>
    </xf>
    <xf borderId="3" fillId="0" fontId="5" numFmtId="164" xfId="0" applyAlignment="1" applyBorder="1" applyFont="1" applyNumberFormat="1">
      <alignment horizontal="center"/>
    </xf>
    <xf borderId="0" fillId="0" fontId="23" numFmtId="0" xfId="0" applyAlignment="1" applyFont="1">
      <alignment readingOrder="0" shrinkToFit="0" vertical="top" wrapText="1"/>
    </xf>
    <xf borderId="3" fillId="0" fontId="7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0" fillId="0" fontId="6" numFmtId="0" xfId="0" applyFont="1"/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25" numFmtId="0" xfId="0" applyAlignment="1" applyFont="1">
      <alignment horizontal="center" readingOrder="0"/>
    </xf>
    <xf borderId="0" fillId="0" fontId="26" numFmtId="0" xfId="0" applyFont="1"/>
    <xf borderId="0" fillId="0" fontId="22" numFmtId="0" xfId="0" applyAlignment="1" applyFont="1">
      <alignment horizontal="center"/>
    </xf>
    <xf borderId="0" fillId="0" fontId="27" numFmtId="0" xfId="0" applyFont="1"/>
  </cellXfs>
  <cellStyles count="1">
    <cellStyle xfId="0" name="Normal" builtinId="0"/>
  </cellStyles>
  <dxfs count="5"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DEE7F2"/>
          <bgColor rgb="FFDEE7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Burndown — avance esperado contra avance real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Avance esperado</c:v>
          </c:tx>
          <c:spPr>
            <a:ln cmpd="sng" w="19050">
              <a:solidFill>
                <a:srgbClr val="C0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Panel!$A$40:$A$56</c:f>
            </c:strRef>
          </c:cat>
          <c:val>
            <c:numRef>
              <c:f>Panel!$B$40:$B$56</c:f>
              <c:numCache/>
            </c:numRef>
          </c:val>
          <c:smooth val="0"/>
        </c:ser>
        <c:ser>
          <c:idx val="1"/>
          <c:order val="1"/>
          <c:tx>
            <c:v>Plan de sprints</c:v>
          </c:tx>
          <c:spPr>
            <a:ln cmpd="sng" w="9525">
              <a:solidFill>
                <a:srgbClr val="8A8985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Panel!$A$40:$A$56</c:f>
            </c:strRef>
          </c:cat>
          <c:val>
            <c:numRef>
              <c:f>Panel!$C$40:$C$56</c:f>
              <c:numCache/>
            </c:numRef>
          </c:val>
          <c:smooth val="0"/>
        </c:ser>
        <c:ser>
          <c:idx val="2"/>
          <c:order val="2"/>
          <c:tx>
            <c:v>Pendiente real</c:v>
          </c:tx>
          <c:spPr>
            <a:ln cmpd="sng" w="28575">
              <a:solidFill>
                <a:srgbClr val="2A78D6">
                  <a:alpha val="100000"/>
                </a:srgbClr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A78D6">
                  <a:alpha val="100000"/>
                </a:srgbClr>
              </a:solidFill>
              <a:ln cmpd="sng">
                <a:solidFill>
                  <a:srgbClr val="2A78D6">
                    <a:alpha val="100000"/>
                  </a:srgbClr>
                </a:solidFill>
              </a:ln>
            </c:spPr>
          </c:marker>
          <c:cat>
            <c:strRef>
              <c:f>Panel!$A$40:$A$56</c:f>
            </c:strRef>
          </c:cat>
          <c:val>
            <c:numRef>
              <c:f>Panel!$D$40:$D$56</c:f>
              <c:numCache/>
            </c:numRef>
          </c:val>
          <c:smooth val="0"/>
        </c:ser>
        <c:axId val="825437910"/>
        <c:axId val="1266531631"/>
      </c:lineChart>
      <c:catAx>
        <c:axId val="825437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Semana del proyecto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531631"/>
      </c:catAx>
      <c:valAx>
        <c:axId val="1266531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Puntos pendientes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437910"/>
      </c:valAx>
    </c:plotArea>
    <c:legend>
      <c:legendPos val="r"/>
      <c:layout>
        <c:manualLayout>
          <c:xMode val="edge"/>
          <c:yMode val="edge"/>
          <c:x val="0.7535990476190476"/>
          <c:y val="0.269450564447634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Estado del backlog por épica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Terminada</c:v>
          </c:tx>
          <c:spPr>
            <a:solidFill>
              <a:srgbClr val="2A78D6"/>
            </a:solidFill>
            <a:ln cmpd="sng">
              <a:noFill/>
            </a:ln>
          </c:spPr>
          <c:cat>
            <c:strRef>
              <c:f>Panel!$A$28:$A$35</c:f>
            </c:strRef>
          </c:cat>
          <c:val>
            <c:numRef>
              <c:f>Panel!$B$28:$B$35</c:f>
              <c:numCache/>
            </c:numRef>
          </c:val>
        </c:ser>
        <c:ser>
          <c:idx val="1"/>
          <c:order val="1"/>
          <c:tx>
            <c:v>En curso</c:v>
          </c:tx>
          <c:spPr>
            <a:solidFill>
              <a:srgbClr val="EDA100"/>
            </a:solidFill>
            <a:ln cmpd="sng">
              <a:noFill/>
            </a:ln>
          </c:spPr>
          <c:cat>
            <c:strRef>
              <c:f>Panel!$A$28:$A$35</c:f>
            </c:strRef>
          </c:cat>
          <c:val>
            <c:numRef>
              <c:f>Panel!$C$28:$C$35</c:f>
              <c:numCache/>
            </c:numRef>
          </c:val>
        </c:ser>
        <c:ser>
          <c:idx val="2"/>
          <c:order val="2"/>
          <c:tx>
            <c:v>No iniciada</c:v>
          </c:tx>
          <c:spPr>
            <a:solidFill>
              <a:srgbClr val="D9D9D9"/>
            </a:solidFill>
            <a:ln cmpd="sng">
              <a:noFill/>
            </a:ln>
          </c:spPr>
          <c:cat>
            <c:strRef>
              <c:f>Panel!$A$28:$A$35</c:f>
            </c:strRef>
          </c:cat>
          <c:val>
            <c:numRef>
              <c:f>Panel!$D$28:$D$35</c:f>
              <c:numCache/>
            </c:numRef>
          </c:val>
        </c:ser>
        <c:ser>
          <c:idx val="3"/>
          <c:order val="3"/>
          <c:tx>
            <c:v>Fuera del compromiso</c:v>
          </c:tx>
          <c:spPr>
            <a:solidFill>
              <a:srgbClr val="EFEFEF"/>
            </a:solidFill>
            <a:ln cmpd="sng">
              <a:noFill/>
            </a:ln>
          </c:spPr>
          <c:cat>
            <c:strRef>
              <c:f>Panel!$A$28:$A$35</c:f>
            </c:strRef>
          </c:cat>
          <c:val>
            <c:numRef>
              <c:f>Panel!$E$28:$E$35</c:f>
              <c:numCache/>
            </c:numRef>
          </c:val>
        </c:ser>
        <c:overlap val="100"/>
        <c:axId val="2060299722"/>
        <c:axId val="364315833"/>
      </c:barChart>
      <c:catAx>
        <c:axId val="20602997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315833"/>
      </c:catAx>
      <c:valAx>
        <c:axId val="3643158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Puntos de historia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299722"/>
        <c:crosses val="max"/>
      </c:valAx>
    </c:plotArea>
    <c:legend>
      <c:legendPos val="r"/>
      <c:layout>
        <c:manualLayout>
          <c:xMode val="edge"/>
          <c:yMode val="edge"/>
          <c:x val="0.7659369841269841"/>
          <c:y val="0.1717242063492063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</xdr:row>
      <xdr:rowOff>0</xdr:rowOff>
    </xdr:from>
    <xdr:ext cx="6296025" cy="3305175"/>
    <xdr:graphicFrame>
      <xdr:nvGraphicFramePr>
        <xdr:cNvPr id="79767177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25</xdr:row>
      <xdr:rowOff>0</xdr:rowOff>
    </xdr:from>
    <xdr:ext cx="6296025" cy="3019425"/>
    <xdr:graphicFrame>
      <xdr:nvGraphicFramePr>
        <xdr:cNvPr id="18347871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4" width="13.0"/>
    <col customWidth="1" min="5" max="5" width="14.0"/>
    <col customWidth="1" min="6" max="6" width="15.0"/>
    <col customWidth="1" min="7" max="26" width="8.86"/>
  </cols>
  <sheetData>
    <row r="1" ht="14.25" customHeight="1">
      <c r="A1" s="2" t="s">
        <v>209</v>
      </c>
    </row>
    <row r="2" ht="14.25" customHeight="1">
      <c r="A2" s="4" t="s">
        <v>211</v>
      </c>
    </row>
    <row r="3" ht="14.25" customHeight="1"/>
    <row r="4" ht="14.25" customHeight="1">
      <c r="A4" s="33" t="s">
        <v>216</v>
      </c>
      <c r="B4" s="36">
        <f>MIN(16,MAX(1,INT((TODAY()-DATE(2026,8,10))/7)+1))</f>
        <v>4</v>
      </c>
      <c r="C4" s="37" t="s">
        <v>222</v>
      </c>
    </row>
    <row r="5" ht="14.25" customHeight="1"/>
    <row r="6" ht="14.25" customHeight="1">
      <c r="A6" s="34" t="s">
        <v>223</v>
      </c>
    </row>
    <row r="7" ht="14.25" customHeight="1">
      <c r="A7" s="38" t="s">
        <v>224</v>
      </c>
      <c r="B7" s="39">
        <f>SUM(Backlog!$D$6:$D$36)</f>
        <v>180</v>
      </c>
    </row>
    <row r="8" ht="14.25" customHeight="1">
      <c r="A8" s="38" t="s">
        <v>225</v>
      </c>
      <c r="B8" s="39">
        <f>SUMIFS(Backlog!$D$6:$D$36,Backlog!$G$6:$G$36,"&lt;&gt;Fuera del compromiso")</f>
        <v>164</v>
      </c>
    </row>
    <row r="9" ht="14.25" customHeight="1">
      <c r="A9" s="38" t="s">
        <v>20</v>
      </c>
      <c r="B9" s="39">
        <f>SUMIFS(Backlog!$D$6:$D$36,Backlog!$G$6:$G$36,"Terminada")</f>
        <v>99</v>
      </c>
    </row>
    <row r="10" ht="14.25" customHeight="1">
      <c r="A10" s="38" t="s">
        <v>76</v>
      </c>
      <c r="B10" s="39">
        <f>SUMIFS(Backlog!$D$6:$D$36,Backlog!$G$6:$G$36,"En curso")</f>
        <v>5</v>
      </c>
    </row>
    <row r="11" ht="14.25" customHeight="1">
      <c r="A11" s="38" t="s">
        <v>226</v>
      </c>
      <c r="B11" s="39">
        <f>SUMIFS(Backlog!$D$6:$D$36,Backlog!$G$6:$G$36,"No iniciada")</f>
        <v>60</v>
      </c>
    </row>
    <row r="12" ht="14.25" customHeight="1">
      <c r="A12" s="38" t="s">
        <v>178</v>
      </c>
      <c r="B12" s="39">
        <f>SUMIFS(Backlog!$D$6:$D$36,Backlog!$G$6:$G$36,"Fuera del compromiso")</f>
        <v>16</v>
      </c>
    </row>
    <row r="13" ht="14.25" customHeight="1">
      <c r="A13" s="38" t="s">
        <v>227</v>
      </c>
      <c r="B13" s="40">
        <f>IFERROR((B9+B10*0.5)/B8,0)</f>
        <v>0.618902439</v>
      </c>
    </row>
    <row r="14" ht="14.25" customHeight="1">
      <c r="A14" s="38" t="s">
        <v>228</v>
      </c>
      <c r="B14" s="39">
        <f>ROUND($B$8*(1-SemanaActual/15),0)-($B$8-$B$9)</f>
        <v>55</v>
      </c>
    </row>
    <row r="15" ht="14.25" customHeight="1"/>
    <row r="16" ht="14.25" customHeight="1">
      <c r="A16" s="41" t="s">
        <v>229</v>
      </c>
    </row>
    <row r="17" ht="14.25" customHeight="1">
      <c r="A17" s="42" t="s">
        <v>230</v>
      </c>
      <c r="B17" s="42" t="s">
        <v>231</v>
      </c>
      <c r="C17" s="42" t="s">
        <v>232</v>
      </c>
      <c r="D17" s="42" t="s">
        <v>233</v>
      </c>
      <c r="E17" s="42" t="s">
        <v>234</v>
      </c>
    </row>
    <row r="18" ht="14.25" customHeight="1">
      <c r="A18" s="43" t="s">
        <v>23</v>
      </c>
      <c r="B18" s="44">
        <v>0.0</v>
      </c>
      <c r="C18" s="44">
        <f t="shared" ref="C18:E18" si="1">$B$8</f>
        <v>164</v>
      </c>
      <c r="D18" s="44">
        <f t="shared" si="1"/>
        <v>164</v>
      </c>
      <c r="E18" s="44">
        <f t="shared" si="1"/>
        <v>164</v>
      </c>
    </row>
    <row r="19" ht="14.25" customHeight="1">
      <c r="A19" s="43" t="s">
        <v>29</v>
      </c>
      <c r="B19" s="44">
        <f>SUMIFS(Backlog!$D$6:$D$36,Backlog!$F$6:$F$36,A19,Backlog!$G$6:$G$36,"Terminada")</f>
        <v>26</v>
      </c>
      <c r="C19" s="44">
        <f>C18-SUMIFS(Backlog!$D$6:$D$36,Backlog!$F$6:$F$36,A19,Backlog!$G$6:$G$36,"&lt;&gt;Fuera del compromiso")</f>
        <v>138</v>
      </c>
      <c r="D19" s="44">
        <f>IF(SemanaActual&lt;1,NA(),D18-B19)</f>
        <v>138</v>
      </c>
      <c r="E19" s="44">
        <f>$B$8*(1-1/5)</f>
        <v>131.2</v>
      </c>
    </row>
    <row r="20" ht="14.25" customHeight="1">
      <c r="A20" s="43" t="s">
        <v>53</v>
      </c>
      <c r="B20" s="44">
        <f>SUMIFS(Backlog!$D$6:$D$36,Backlog!$F$6:$F$36,A20,Backlog!$G$6:$G$36,"Terminada")</f>
        <v>73</v>
      </c>
      <c r="C20" s="44">
        <f>C19-SUMIFS(Backlog!$D$6:$D$36,Backlog!$F$6:$F$36,A20,Backlog!$G$6:$G$36,"&lt;&gt;Fuera del compromiso")</f>
        <v>65</v>
      </c>
      <c r="D20" s="44">
        <f>IF(SemanaActual&lt;4,NA(),D19-B20)</f>
        <v>65</v>
      </c>
      <c r="E20" s="44">
        <f>$B$8*(1-2/5)</f>
        <v>98.4</v>
      </c>
    </row>
    <row r="21" ht="14.25" customHeight="1">
      <c r="A21" s="43" t="s">
        <v>60</v>
      </c>
      <c r="B21" s="44">
        <f>SUMIFS(Backlog!$D$6:$D$36,Backlog!$F$6:$F$36,A21,Backlog!$G$6:$G$36,"Terminada")</f>
        <v>0</v>
      </c>
      <c r="C21" s="44">
        <f>C20-SUMIFS(Backlog!$D$6:$D$36,Backlog!$F$6:$F$36,A21,Backlog!$G$6:$G$36,"&lt;&gt;Fuera del compromiso")</f>
        <v>42</v>
      </c>
      <c r="D21" s="44" t="str">
        <f>IF(SemanaActual&lt;7,NA(),D20-B21)</f>
        <v>#N/A</v>
      </c>
      <c r="E21" s="44">
        <f>$B$8*(1-3/5)</f>
        <v>65.6</v>
      </c>
    </row>
    <row r="22" ht="14.25" customHeight="1">
      <c r="A22" s="43" t="s">
        <v>64</v>
      </c>
      <c r="B22" s="44">
        <f>SUMIFS(Backlog!$D$6:$D$36,Backlog!$F$6:$F$36,A22,Backlog!$G$6:$G$36,"Terminada")</f>
        <v>0</v>
      </c>
      <c r="C22" s="44">
        <f>C21-SUMIFS(Backlog!$D$6:$D$36,Backlog!$F$6:$F$36,A22,Backlog!$G$6:$G$36,"&lt;&gt;Fuera del compromiso")</f>
        <v>24</v>
      </c>
      <c r="D22" s="44" t="str">
        <f>IF(SemanaActual&lt;10,NA(),D21-B22)</f>
        <v>#N/A</v>
      </c>
      <c r="E22" s="44">
        <f>$B$8*(1-4/5)</f>
        <v>32.8</v>
      </c>
    </row>
    <row r="23" ht="14.25" customHeight="1">
      <c r="A23" s="43" t="s">
        <v>67</v>
      </c>
      <c r="B23" s="44">
        <f>SUMIFS(Backlog!$D$6:$D$36,Backlog!$F$6:$F$36,A23,Backlog!$G$6:$G$36,"Terminada")</f>
        <v>0</v>
      </c>
      <c r="C23" s="44">
        <f>C22-SUMIFS(Backlog!$D$6:$D$36,Backlog!$F$6:$F$36,A23,Backlog!$G$6:$G$36,"&lt;&gt;Fuera del compromiso")</f>
        <v>0</v>
      </c>
      <c r="D23" s="44" t="str">
        <f>IF(SemanaActual&lt;13,NA(),D22-B23)</f>
        <v>#N/A</v>
      </c>
      <c r="E23" s="44">
        <f>$B$8*(1-5/5)</f>
        <v>0</v>
      </c>
    </row>
    <row r="24" ht="14.25" customHeight="1"/>
    <row r="25" ht="14.25" customHeight="1"/>
    <row r="26" ht="14.25" customHeight="1">
      <c r="A26" s="34" t="s">
        <v>264</v>
      </c>
    </row>
    <row r="27" ht="14.25" customHeight="1">
      <c r="A27" s="42" t="s">
        <v>13</v>
      </c>
      <c r="B27" s="42" t="s">
        <v>38</v>
      </c>
      <c r="C27" s="42" t="s">
        <v>76</v>
      </c>
      <c r="D27" s="42" t="s">
        <v>71</v>
      </c>
      <c r="E27" s="42" t="s">
        <v>178</v>
      </c>
    </row>
    <row r="28" ht="14.25" customHeight="1">
      <c r="A28" s="46" t="s">
        <v>265</v>
      </c>
      <c r="B28" s="47">
        <f>SUMIFS(Backlog!$D$6:$D$36,Backlog!$C$6:$C$36,"E1",Backlog!$G$6:$G$36,"Terminada")</f>
        <v>34</v>
      </c>
      <c r="C28" s="47">
        <f>SUMIFS(Backlog!$D$6:$D$36,Backlog!$C$6:$C$36,"E1",Backlog!$G$6:$G$36,"En curso")</f>
        <v>0</v>
      </c>
      <c r="D28" s="47">
        <f>SUMIFS(Backlog!$D$6:$D$36,Backlog!$C$6:$C$36,"E1",Backlog!$G$6:$G$36,"No iniciada")</f>
        <v>0</v>
      </c>
      <c r="E28" s="47">
        <f>SUMIFS(Backlog!$D$6:$D$36,Backlog!$C$6:$C$36,"E1",Backlog!$G$6:$G$36,"Fuera del compromiso")</f>
        <v>0</v>
      </c>
    </row>
    <row r="29" ht="14.25" customHeight="1">
      <c r="A29" s="46" t="s">
        <v>266</v>
      </c>
      <c r="B29" s="47">
        <f>SUMIFS(Backlog!$D$6:$D$36,Backlog!$C$6:$C$36,"E2",Backlog!$G$6:$G$36,"Terminada")</f>
        <v>8</v>
      </c>
      <c r="C29" s="47">
        <f>SUMIFS(Backlog!$D$6:$D$36,Backlog!$C$6:$C$36,"E2",Backlog!$G$6:$G$36,"En curso")</f>
        <v>5</v>
      </c>
      <c r="D29" s="47">
        <f>SUMIFS(Backlog!$D$6:$D$36,Backlog!$C$6:$C$36,"E2",Backlog!$G$6:$G$36,"No iniciada")</f>
        <v>5</v>
      </c>
      <c r="E29" s="47">
        <f>SUMIFS(Backlog!$D$6:$D$36,Backlog!$C$6:$C$36,"E2",Backlog!$G$6:$G$36,"Fuera del compromiso")</f>
        <v>0</v>
      </c>
    </row>
    <row r="30" ht="14.25" customHeight="1">
      <c r="A30" s="46" t="s">
        <v>267</v>
      </c>
      <c r="B30" s="47">
        <f>SUMIFS(Backlog!$D$6:$D$36,Backlog!$C$6:$C$36,"E3",Backlog!$G$6:$G$36,"Terminada")</f>
        <v>34</v>
      </c>
      <c r="C30" s="47">
        <f>SUMIFS(Backlog!$D$6:$D$36,Backlog!$C$6:$C$36,"E3",Backlog!$G$6:$G$36,"En curso")</f>
        <v>0</v>
      </c>
      <c r="D30" s="47">
        <f>SUMIFS(Backlog!$D$6:$D$36,Backlog!$C$6:$C$36,"E3",Backlog!$G$6:$G$36,"No iniciada")</f>
        <v>0</v>
      </c>
      <c r="E30" s="47">
        <f>SUMIFS(Backlog!$D$6:$D$36,Backlog!$C$6:$C$36,"E3",Backlog!$G$6:$G$36,"Fuera del compromiso")</f>
        <v>0</v>
      </c>
    </row>
    <row r="31" ht="14.25" customHeight="1">
      <c r="A31" s="46" t="s">
        <v>268</v>
      </c>
      <c r="B31" s="47">
        <f>SUMIFS(Backlog!$D$6:$D$36,Backlog!$C$6:$C$36,"E4",Backlog!$G$6:$G$36,"Terminada")</f>
        <v>0</v>
      </c>
      <c r="C31" s="47">
        <f>SUMIFS(Backlog!$D$6:$D$36,Backlog!$C$6:$C$36,"E4",Backlog!$G$6:$G$36,"En curso")</f>
        <v>0</v>
      </c>
      <c r="D31" s="47">
        <f>SUMIFS(Backlog!$D$6:$D$36,Backlog!$C$6:$C$36,"E4",Backlog!$G$6:$G$36,"No iniciada")</f>
        <v>18</v>
      </c>
      <c r="E31" s="47">
        <f>SUMIFS(Backlog!$D$6:$D$36,Backlog!$C$6:$C$36,"E4",Backlog!$G$6:$G$36,"Fuera del compromiso")</f>
        <v>0</v>
      </c>
    </row>
    <row r="32" ht="14.25" customHeight="1">
      <c r="A32" s="46" t="s">
        <v>269</v>
      </c>
      <c r="B32" s="47">
        <f>SUMIFS(Backlog!$D$6:$D$36,Backlog!$C$6:$C$36,"E5",Backlog!$G$6:$G$36,"Terminada")</f>
        <v>0</v>
      </c>
      <c r="C32" s="47">
        <f>SUMIFS(Backlog!$D$6:$D$36,Backlog!$C$6:$C$36,"E5",Backlog!$G$6:$G$36,"En curso")</f>
        <v>0</v>
      </c>
      <c r="D32" s="47">
        <f>SUMIFS(Backlog!$D$6:$D$36,Backlog!$C$6:$C$36,"E5",Backlog!$G$6:$G$36,"No iniciada")</f>
        <v>16</v>
      </c>
      <c r="E32" s="47">
        <f>SUMIFS(Backlog!$D$6:$D$36,Backlog!$C$6:$C$36,"E5",Backlog!$G$6:$G$36,"Fuera del compromiso")</f>
        <v>0</v>
      </c>
    </row>
    <row r="33" ht="14.25" customHeight="1">
      <c r="A33" s="46" t="s">
        <v>270</v>
      </c>
      <c r="B33" s="47">
        <f>SUMIFS(Backlog!$D$6:$D$36,Backlog!$C$6:$C$36,"E6",Backlog!$G$6:$G$36,"Terminada")</f>
        <v>18</v>
      </c>
      <c r="C33" s="47">
        <f>SUMIFS(Backlog!$D$6:$D$36,Backlog!$C$6:$C$36,"E6",Backlog!$G$6:$G$36,"En curso")</f>
        <v>0</v>
      </c>
      <c r="D33" s="47">
        <f>SUMIFS(Backlog!$D$6:$D$36,Backlog!$C$6:$C$36,"E6",Backlog!$G$6:$G$36,"No iniciada")</f>
        <v>8</v>
      </c>
      <c r="E33" s="47">
        <f>SUMIFS(Backlog!$D$6:$D$36,Backlog!$C$6:$C$36,"E6",Backlog!$G$6:$G$36,"Fuera del compromiso")</f>
        <v>0</v>
      </c>
    </row>
    <row r="34" ht="14.25" customHeight="1">
      <c r="A34" s="46" t="s">
        <v>271</v>
      </c>
      <c r="B34" s="47">
        <f>SUMIFS(Backlog!$D$6:$D$36,Backlog!$C$6:$C$36,"E7",Backlog!$G$6:$G$36,"Terminada")</f>
        <v>0</v>
      </c>
      <c r="C34" s="47">
        <f>SUMIFS(Backlog!$D$6:$D$36,Backlog!$C$6:$C$36,"E7",Backlog!$G$6:$G$36,"En curso")</f>
        <v>0</v>
      </c>
      <c r="D34" s="47">
        <f>SUMIFS(Backlog!$D$6:$D$36,Backlog!$C$6:$C$36,"E7",Backlog!$G$6:$G$36,"No iniciada")</f>
        <v>0</v>
      </c>
      <c r="E34" s="47">
        <f>SUMIFS(Backlog!$D$6:$D$36,Backlog!$C$6:$C$36,"E7",Backlog!$G$6:$G$36,"Fuera del compromiso")</f>
        <v>16</v>
      </c>
    </row>
    <row r="35" ht="14.25" customHeight="1">
      <c r="A35" s="46" t="s">
        <v>272</v>
      </c>
      <c r="B35" s="47">
        <f>SUMIFS(Backlog!$D$6:$D$36,Backlog!$C$6:$C$36,"E8",Backlog!$G$6:$G$36,"Terminada")</f>
        <v>5</v>
      </c>
      <c r="C35" s="47">
        <f>SUMIFS(Backlog!$D$6:$D$36,Backlog!$C$6:$C$36,"E8",Backlog!$G$6:$G$36,"En curso")</f>
        <v>0</v>
      </c>
      <c r="D35" s="47">
        <f>SUMIFS(Backlog!$D$6:$D$36,Backlog!$C$6:$C$36,"E8",Backlog!$G$6:$G$36,"No iniciada")</f>
        <v>13</v>
      </c>
      <c r="E35" s="47">
        <f>SUMIFS(Backlog!$D$6:$D$36,Backlog!$C$6:$C$36,"E8",Backlog!$G$6:$G$36,"Fuera del compromiso")</f>
        <v>0</v>
      </c>
    </row>
    <row r="36" ht="14.25" customHeight="1"/>
    <row r="37" ht="14.25" customHeight="1"/>
    <row r="38" ht="14.25" customHeight="1">
      <c r="A38" s="48" t="s">
        <v>273</v>
      </c>
    </row>
    <row r="39" ht="14.25" customHeight="1">
      <c r="A39" s="42" t="s">
        <v>237</v>
      </c>
      <c r="B39" s="42" t="s">
        <v>274</v>
      </c>
      <c r="C39" s="42" t="s">
        <v>275</v>
      </c>
      <c r="D39" s="42" t="s">
        <v>233</v>
      </c>
      <c r="E39" s="49" t="s">
        <v>276</v>
      </c>
      <c r="F39" s="42" t="s">
        <v>277</v>
      </c>
    </row>
    <row r="40" ht="14.25" customHeight="1">
      <c r="A40" s="50" t="s">
        <v>23</v>
      </c>
      <c r="B40" s="51">
        <f>MAX(0,$B$8*(1-0/15))</f>
        <v>164</v>
      </c>
      <c r="C40" s="51">
        <f t="shared" ref="C40:D40" si="2">$B$8</f>
        <v>164</v>
      </c>
      <c r="D40" s="51">
        <f t="shared" si="2"/>
        <v>164</v>
      </c>
      <c r="E40" s="52"/>
      <c r="F40" s="53"/>
    </row>
    <row r="41" ht="14.25" customHeight="1">
      <c r="A41" s="54">
        <v>1.0</v>
      </c>
      <c r="B41" s="51">
        <f>MAX(0,$B$8*(1-1/15))</f>
        <v>153.0666667</v>
      </c>
      <c r="C41" s="51">
        <f t="array" ref="C41">MAX(0,INDEX($C$18:$C$23,MIN(5,CEILING(1/3,1)))+(INDEX($C$18:$C$23,MIN(5,CEILING(1/3,1))+1)-INDEX($C$18:$C$23,MIN(5,CEILING(1/3,1))))*(1-3*(MIN(5,CEILING(1/3,1))-1))/3)</f>
        <v>155.3333333</v>
      </c>
      <c r="D41" s="51">
        <f t="array" ref="D41">IF(E41&lt;&gt;"",E41,IF(1&gt;SemanaActual,NA(),IF(1=SemanaActual,$B$8-$B$9,INDEX($D$18:$D$23,INT(1/3)+1))))</f>
        <v>164</v>
      </c>
      <c r="E41" s="52"/>
      <c r="F41" s="53" t="s">
        <v>278</v>
      </c>
    </row>
    <row r="42" ht="14.25" customHeight="1">
      <c r="A42" s="54">
        <v>2.0</v>
      </c>
      <c r="B42" s="51">
        <f>MAX(0,$B$8*(1-2/15))</f>
        <v>142.1333333</v>
      </c>
      <c r="C42" s="51">
        <f t="array" ref="C42">MAX(0,INDEX($C$18:$C$23,MIN(5,CEILING(2/3,1)))+(INDEX($C$18:$C$23,MIN(5,CEILING(2/3,1))+1)-INDEX($C$18:$C$23,MIN(5,CEILING(2/3,1))))*(2-3*(MIN(5,CEILING(2/3,1))-1))/3)</f>
        <v>146.6666667</v>
      </c>
      <c r="D42" s="51">
        <f t="array" ref="D42">IF(E42&lt;&gt;"",E42,IF(2&gt;SemanaActual,NA(),IF(2=SemanaActual,$B$8-$B$9,INDEX($D$18:$D$23,INT(2/3)+1))))</f>
        <v>164</v>
      </c>
      <c r="E42" s="52"/>
      <c r="F42" s="53" t="s">
        <v>279</v>
      </c>
    </row>
    <row r="43" ht="14.25" customHeight="1">
      <c r="A43" s="54">
        <v>3.0</v>
      </c>
      <c r="B43" s="51">
        <f>MAX(0,$B$8*(1-3/15))</f>
        <v>131.2</v>
      </c>
      <c r="C43" s="51">
        <f t="array" ref="C43">MAX(0,INDEX($C$18:$C$23,MIN(5,CEILING(3/3,1)))+(INDEX($C$18:$C$23,MIN(5,CEILING(3/3,1))+1)-INDEX($C$18:$C$23,MIN(5,CEILING(3/3,1))))*(3-3*(MIN(5,CEILING(3/3,1))-1))/3)</f>
        <v>138</v>
      </c>
      <c r="D43" s="51">
        <f t="array" ref="D43">IF(E43&lt;&gt;"",E43,IF(3&gt;SemanaActual,NA(),IF(3=SemanaActual,$B$8-$B$9,INDEX($D$18:$D$23,INT(3/3)+1))))</f>
        <v>138</v>
      </c>
      <c r="E43" s="52"/>
      <c r="F43" s="53" t="s">
        <v>35</v>
      </c>
    </row>
    <row r="44" ht="14.25" customHeight="1">
      <c r="A44" s="54">
        <v>4.0</v>
      </c>
      <c r="B44" s="51">
        <f>MAX(0,$B$8*(1-4/15))</f>
        <v>120.2666667</v>
      </c>
      <c r="C44" s="51">
        <f t="array" ref="C44">MAX(0,INDEX($C$18:$C$23,MIN(5,CEILING(4/3,1)))+(INDEX($C$18:$C$23,MIN(5,CEILING(4/3,1))+1)-INDEX($C$18:$C$23,MIN(5,CEILING(4/3,1))))*(4-3*(MIN(5,CEILING(4/3,1))-1))/3)</f>
        <v>113.6666667</v>
      </c>
      <c r="D44" s="51">
        <f t="array" ref="D44">IF(E44&lt;&gt;"",E44,IF(4&gt;SemanaActual,NA(),IF(4=SemanaActual,$B$8-$B$9,INDEX($D$18:$D$23,INT(4/3)+1))))</f>
        <v>65</v>
      </c>
      <c r="E44" s="52"/>
      <c r="F44" s="53" t="s">
        <v>280</v>
      </c>
    </row>
    <row r="45" ht="14.25" customHeight="1">
      <c r="A45" s="54">
        <v>5.0</v>
      </c>
      <c r="B45" s="51">
        <f>MAX(0,$B$8*(1-5/15))</f>
        <v>109.3333333</v>
      </c>
      <c r="C45" s="51">
        <f t="array" ref="C45">MAX(0,INDEX($C$18:$C$23,MIN(5,CEILING(5/3,1)))+(INDEX($C$18:$C$23,MIN(5,CEILING(5/3,1))+1)-INDEX($C$18:$C$23,MIN(5,CEILING(5/3,1))))*(5-3*(MIN(5,CEILING(5/3,1))-1))/3)</f>
        <v>89.33333333</v>
      </c>
      <c r="D45" s="51">
        <f t="array" ref="D45">IF(E45&lt;&gt;"",E45,IF(5&gt;SemanaActual,NA(),IF(5=SemanaActual,$B$8-$B$9,INDEX($D$18:$D$23,INT(5/3)+1))))</f>
        <v>65</v>
      </c>
      <c r="E45" s="52">
        <v>65.0</v>
      </c>
      <c r="F45" s="53" t="s">
        <v>281</v>
      </c>
    </row>
    <row r="46" ht="14.25" customHeight="1">
      <c r="A46" s="54">
        <v>6.0</v>
      </c>
      <c r="B46" s="51">
        <f>MAX(0,$B$8*(1-6/15))</f>
        <v>98.4</v>
      </c>
      <c r="C46" s="51">
        <f t="array" ref="C46">MAX(0,INDEX($C$18:$C$23,MIN(5,CEILING(6/3,1)))+(INDEX($C$18:$C$23,MIN(5,CEILING(6/3,1))+1)-INDEX($C$18:$C$23,MIN(5,CEILING(6/3,1))))*(6-3*(MIN(5,CEILING(6/3,1))-1))/3)</f>
        <v>65</v>
      </c>
      <c r="D46" s="51" t="str">
        <f t="array" ref="D46">IF(E46&lt;&gt;"",E46,IF(6&gt;SemanaActual,NA(),IF(6=SemanaActual,$B$8-$B$9,INDEX($D$18:$D$23,INT(6/3)+1))))</f>
        <v>#N/A</v>
      </c>
      <c r="E46" s="52"/>
      <c r="F46" s="53" t="s">
        <v>85</v>
      </c>
    </row>
    <row r="47" ht="14.25" customHeight="1">
      <c r="A47" s="54">
        <v>7.0</v>
      </c>
      <c r="B47" s="51">
        <f>MAX(0,$B$8*(1-7/15))</f>
        <v>87.46666667</v>
      </c>
      <c r="C47" s="51">
        <f t="array" ref="C47">MAX(0,INDEX($C$18:$C$23,MIN(5,CEILING(7/3,1)))+(INDEX($C$18:$C$23,MIN(5,CEILING(7/3,1))+1)-INDEX($C$18:$C$23,MIN(5,CEILING(7/3,1))))*(7-3*(MIN(5,CEILING(7/3,1))-1))/3)</f>
        <v>57.33333333</v>
      </c>
      <c r="D47" s="51" t="str">
        <f t="array" ref="D47">IF(E47&lt;&gt;"",E47,IF(7&gt;SemanaActual,NA(),IF(7=SemanaActual,$B$8-$B$9,INDEX($D$18:$D$23,INT(7/3)+1))))</f>
        <v>#N/A</v>
      </c>
      <c r="E47" s="52"/>
      <c r="F47" s="53" t="s">
        <v>282</v>
      </c>
    </row>
    <row r="48" ht="14.25" customHeight="1">
      <c r="A48" s="54">
        <v>8.0</v>
      </c>
      <c r="B48" s="51">
        <f>MAX(0,$B$8*(1-8/15))</f>
        <v>76.53333333</v>
      </c>
      <c r="C48" s="51">
        <f t="array" ref="C48">MAX(0,INDEX($C$18:$C$23,MIN(5,CEILING(8/3,1)))+(INDEX($C$18:$C$23,MIN(5,CEILING(8/3,1))+1)-INDEX($C$18:$C$23,MIN(5,CEILING(8/3,1))))*(8-3*(MIN(5,CEILING(8/3,1))-1))/3)</f>
        <v>49.66666667</v>
      </c>
      <c r="D48" s="51" t="str">
        <f t="array" ref="D48">IF(E48&lt;&gt;"",E48,IF(8&gt;SemanaActual,NA(),IF(8=SemanaActual,$B$8-$B$9,INDEX($D$18:$D$23,INT(8/3)+1))))</f>
        <v>#N/A</v>
      </c>
      <c r="E48" s="52"/>
      <c r="F48" s="53" t="s">
        <v>283</v>
      </c>
    </row>
    <row r="49" ht="14.25" customHeight="1">
      <c r="A49" s="54">
        <v>9.0</v>
      </c>
      <c r="B49" s="51">
        <f>MAX(0,$B$8*(1-9/15))</f>
        <v>65.6</v>
      </c>
      <c r="C49" s="51">
        <f t="array" ref="C49">MAX(0,INDEX($C$18:$C$23,MIN(5,CEILING(9/3,1)))+(INDEX($C$18:$C$23,MIN(5,CEILING(9/3,1))+1)-INDEX($C$18:$C$23,MIN(5,CEILING(9/3,1))))*(9-3*(MIN(5,CEILING(9/3,1))-1))/3)</f>
        <v>42</v>
      </c>
      <c r="D49" s="51" t="str">
        <f t="array" ref="D49">IF(E49&lt;&gt;"",E49,IF(9&gt;SemanaActual,NA(),IF(9=SemanaActual,$B$8-$B$9,INDEX($D$18:$D$23,INT(9/3)+1))))</f>
        <v>#N/A</v>
      </c>
      <c r="E49" s="52"/>
      <c r="F49" s="53" t="s">
        <v>132</v>
      </c>
    </row>
    <row r="50" ht="14.25" customHeight="1">
      <c r="A50" s="54">
        <v>10.0</v>
      </c>
      <c r="B50" s="51">
        <f>MAX(0,$B$8*(1-10/15))</f>
        <v>54.66666667</v>
      </c>
      <c r="C50" s="51">
        <f t="array" ref="C50">MAX(0,INDEX($C$18:$C$23,MIN(5,CEILING(10/3,1)))+(INDEX($C$18:$C$23,MIN(5,CEILING(10/3,1))+1)-INDEX($C$18:$C$23,MIN(5,CEILING(10/3,1))))*(10-3*(MIN(5,CEILING(10/3,1))-1))/3)</f>
        <v>36</v>
      </c>
      <c r="D50" s="51" t="str">
        <f t="array" ref="D50">IF(E50&lt;&gt;"",E50,IF(10&gt;SemanaActual,NA(),IF(10=SemanaActual,$B$8-$B$9,INDEX($D$18:$D$23,INT(10/3)+1))))</f>
        <v>#N/A</v>
      </c>
      <c r="E50" s="52"/>
      <c r="F50" s="53" t="s">
        <v>284</v>
      </c>
    </row>
    <row r="51" ht="14.25" customHeight="1">
      <c r="A51" s="54">
        <v>11.0</v>
      </c>
      <c r="B51" s="51">
        <f>MAX(0,$B$8*(1-11/15))</f>
        <v>43.73333333</v>
      </c>
      <c r="C51" s="51">
        <f t="array" ref="C51">MAX(0,INDEX($C$18:$C$23,MIN(5,CEILING(11/3,1)))+(INDEX($C$18:$C$23,MIN(5,CEILING(11/3,1))+1)-INDEX($C$18:$C$23,MIN(5,CEILING(11/3,1))))*(11-3*(MIN(5,CEILING(11/3,1))-1))/3)</f>
        <v>30</v>
      </c>
      <c r="D51" s="51" t="str">
        <f t="array" ref="D51">IF(E51&lt;&gt;"",E51,IF(11&gt;SemanaActual,NA(),IF(11=SemanaActual,$B$8-$B$9,INDEX($D$18:$D$23,INT(11/3)+1))))</f>
        <v>#N/A</v>
      </c>
      <c r="E51" s="52"/>
      <c r="F51" s="53" t="s">
        <v>285</v>
      </c>
    </row>
    <row r="52" ht="14.25" customHeight="1">
      <c r="A52" s="54">
        <v>12.0</v>
      </c>
      <c r="B52" s="51">
        <f>MAX(0,$B$8*(1-12/15))</f>
        <v>32.8</v>
      </c>
      <c r="C52" s="51">
        <f t="array" ref="C52">MAX(0,INDEX($C$18:$C$23,MIN(5,CEILING(12/3,1)))+(INDEX($C$18:$C$23,MIN(5,CEILING(12/3,1))+1)-INDEX($C$18:$C$23,MIN(5,CEILING(12/3,1))))*(12-3*(MIN(5,CEILING(12/3,1))-1))/3)</f>
        <v>24</v>
      </c>
      <c r="D52" s="51" t="str">
        <f t="array" ref="D52">IF(E52&lt;&gt;"",E52,IF(12&gt;SemanaActual,NA(),IF(12=SemanaActual,$B$8-$B$9,INDEX($D$18:$D$23,INT(12/3)+1))))</f>
        <v>#N/A</v>
      </c>
      <c r="E52" s="52"/>
      <c r="F52" s="53" t="s">
        <v>168</v>
      </c>
    </row>
    <row r="53" ht="14.25" customHeight="1">
      <c r="A53" s="54">
        <v>13.0</v>
      </c>
      <c r="B53" s="51">
        <f>MAX(0,$B$8*(1-13/15))</f>
        <v>21.86666667</v>
      </c>
      <c r="C53" s="51">
        <f t="array" ref="C53">MAX(0,INDEX($C$18:$C$23,MIN(5,CEILING(13/3,1)))+(INDEX($C$18:$C$23,MIN(5,CEILING(13/3,1))+1)-INDEX($C$18:$C$23,MIN(5,CEILING(13/3,1))))*(13-3*(MIN(5,CEILING(13/3,1))-1))/3)</f>
        <v>16</v>
      </c>
      <c r="D53" s="51" t="str">
        <f t="array" ref="D53">IF(E53&lt;&gt;"",E53,IF(13&gt;SemanaActual,NA(),IF(13=SemanaActual,$B$8-$B$9,INDEX($D$18:$D$23,INT(13/3)+1))))</f>
        <v>#N/A</v>
      </c>
      <c r="E53" s="52"/>
      <c r="F53" s="53" t="s">
        <v>286</v>
      </c>
    </row>
    <row r="54" ht="14.25" customHeight="1">
      <c r="A54" s="54">
        <v>14.0</v>
      </c>
      <c r="B54" s="51">
        <f>MAX(0,$B$8*(1-14/15))</f>
        <v>10.93333333</v>
      </c>
      <c r="C54" s="51">
        <f t="array" ref="C54">MAX(0,INDEX($C$18:$C$23,MIN(5,CEILING(14/3,1)))+(INDEX($C$18:$C$23,MIN(5,CEILING(14/3,1))+1)-INDEX($C$18:$C$23,MIN(5,CEILING(14/3,1))))*(14-3*(MIN(5,CEILING(14/3,1))-1))/3)</f>
        <v>8</v>
      </c>
      <c r="D54" s="51" t="str">
        <f t="array" ref="D54">IF(E54&lt;&gt;"",E54,IF(14&gt;SemanaActual,NA(),IF(14=SemanaActual,$B$8-$B$9,INDEX($D$18:$D$23,INT(14/3)+1))))</f>
        <v>#N/A</v>
      </c>
      <c r="E54" s="52"/>
      <c r="F54" s="53" t="s">
        <v>287</v>
      </c>
    </row>
    <row r="55" ht="14.25" customHeight="1">
      <c r="A55" s="54">
        <v>15.0</v>
      </c>
      <c r="B55" s="51">
        <f>MAX(0,$B$8*(1-15/15))</f>
        <v>0</v>
      </c>
      <c r="C55" s="51">
        <f t="array" ref="C55">MAX(0,INDEX($C$18:$C$23,MIN(5,CEILING(15/3,1)))+(INDEX($C$18:$C$23,MIN(5,CEILING(15/3,1))+1)-INDEX($C$18:$C$23,MIN(5,CEILING(15/3,1))))*(15-3*(MIN(5,CEILING(15/3,1))-1))/3)</f>
        <v>0</v>
      </c>
      <c r="D55" s="51" t="str">
        <f t="array" ref="D55">IF(E55&lt;&gt;"",E55,IF(15&gt;SemanaActual,NA(),IF(15=SemanaActual,$B$8-$B$9,INDEX($D$18:$D$23,INT(15/3)+1))))</f>
        <v>#N/A</v>
      </c>
      <c r="E55" s="52"/>
      <c r="F55" s="53" t="s">
        <v>202</v>
      </c>
    </row>
    <row r="56" ht="14.25" customHeight="1">
      <c r="A56" s="54">
        <v>16.0</v>
      </c>
      <c r="B56" s="51">
        <f>MAX(0,$B$8*(1-16/15))</f>
        <v>0</v>
      </c>
      <c r="C56" s="51">
        <f t="array" ref="C56">MAX(0,INDEX($C$18:$C$23,MIN(5,CEILING(16/3,1)))+(INDEX($C$18:$C$23,MIN(5,CEILING(16/3,1))+1)-INDEX($C$18:$C$23,MIN(5,CEILING(16/3,1))))*(16-3*(MIN(5,CEILING(16/3,1))-1))/3)</f>
        <v>0</v>
      </c>
      <c r="D56" s="51" t="str">
        <f t="array" ref="D56">IF(E56&lt;&gt;"",E56,IF(16&gt;SemanaActual,NA(),IF(16=SemanaActual,$B$8-$B$9,INDEX($D$18:$D$23,INT(16/3)+1))))</f>
        <v>#N/A</v>
      </c>
      <c r="E56" s="52"/>
      <c r="F56" s="53" t="s">
        <v>288</v>
      </c>
    </row>
    <row r="57" ht="14.25" customHeight="1"/>
    <row r="58" ht="14.25" customHeight="1">
      <c r="A58" s="55" t="s">
        <v>289</v>
      </c>
    </row>
    <row r="59" ht="36.7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58:F59"/>
  </mergeCells>
  <dataValidations>
    <dataValidation type="decimal" allowBlank="1" sqref="E41:E56">
      <formula1>0.0</formula1>
      <formula2>500.0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8.0" topLeftCell="H9" activePane="bottomRight" state="frozen"/>
      <selection activeCell="H1" sqref="H1" pane="topRight"/>
      <selection activeCell="A9" sqref="A9" pane="bottomLeft"/>
      <selection activeCell="H9" sqref="H9" pane="bottomRight"/>
    </sheetView>
  </sheetViews>
  <sheetFormatPr customHeight="1" defaultColWidth="14.43" defaultRowHeight="15.0"/>
  <cols>
    <col customWidth="1" min="1" max="1" width="44.0"/>
    <col customWidth="1" min="2" max="2" width="22.0"/>
    <col customWidth="1" min="3" max="5" width="7.0"/>
    <col customWidth="1" min="6" max="6" width="14.0"/>
    <col customWidth="1" min="7" max="7" width="8.0"/>
    <col customWidth="1" min="8" max="23" width="4.29"/>
    <col customWidth="1" min="24" max="26" width="8.86"/>
  </cols>
  <sheetData>
    <row r="1" ht="14.25" customHeight="1">
      <c r="A1" s="1" t="s">
        <v>0</v>
      </c>
    </row>
    <row r="2" ht="14.25" customHeight="1">
      <c r="A2" s="3" t="s">
        <v>3</v>
      </c>
    </row>
    <row r="3" ht="14.25" customHeight="1">
      <c r="A3" s="5" t="s">
        <v>6</v>
      </c>
    </row>
    <row r="4" ht="14.25" customHeight="1"/>
    <row r="5" ht="14.25" customHeight="1">
      <c r="A5" s="7" t="s">
        <v>9</v>
      </c>
      <c r="B5" s="7" t="s">
        <v>17</v>
      </c>
      <c r="C5" s="7" t="s">
        <v>23</v>
      </c>
      <c r="D5" s="7" t="s">
        <v>26</v>
      </c>
      <c r="E5" s="7" t="s">
        <v>10</v>
      </c>
      <c r="F5" s="7" t="s">
        <v>21</v>
      </c>
      <c r="G5" s="7" t="s">
        <v>22</v>
      </c>
      <c r="H5" s="13" t="s">
        <v>36</v>
      </c>
      <c r="I5" s="14"/>
      <c r="J5" s="14"/>
      <c r="K5" s="16"/>
      <c r="L5" s="13" t="s">
        <v>42</v>
      </c>
      <c r="M5" s="14"/>
      <c r="N5" s="14"/>
      <c r="O5" s="14"/>
      <c r="P5" s="14"/>
      <c r="Q5" s="14"/>
      <c r="R5" s="14"/>
      <c r="S5" s="14"/>
      <c r="T5" s="14"/>
      <c r="U5" s="14"/>
      <c r="V5" s="16"/>
      <c r="W5" s="17" t="s">
        <v>47</v>
      </c>
    </row>
    <row r="6" ht="14.25" customHeight="1">
      <c r="A6" s="18"/>
      <c r="B6" s="18"/>
      <c r="C6" s="18"/>
      <c r="D6" s="18"/>
      <c r="E6" s="18"/>
      <c r="F6" s="18"/>
      <c r="G6" s="18"/>
      <c r="H6" s="19" t="s">
        <v>29</v>
      </c>
      <c r="I6" s="20"/>
      <c r="J6" s="21"/>
      <c r="K6" s="19" t="s">
        <v>53</v>
      </c>
      <c r="L6" s="20"/>
      <c r="M6" s="21"/>
      <c r="N6" s="19" t="s">
        <v>60</v>
      </c>
      <c r="O6" s="20"/>
      <c r="P6" s="21"/>
      <c r="Q6" s="19" t="s">
        <v>64</v>
      </c>
      <c r="R6" s="20"/>
      <c r="S6" s="21"/>
      <c r="T6" s="19" t="s">
        <v>67</v>
      </c>
      <c r="U6" s="20"/>
      <c r="V6" s="21"/>
      <c r="W6" s="22" t="s">
        <v>70</v>
      </c>
    </row>
    <row r="7" ht="14.25" customHeight="1">
      <c r="A7" s="18"/>
      <c r="B7" s="18"/>
      <c r="C7" s="18"/>
      <c r="D7" s="18"/>
      <c r="E7" s="18"/>
      <c r="F7" s="18"/>
      <c r="G7" s="18"/>
      <c r="H7" s="23">
        <v>1.0</v>
      </c>
      <c r="I7" s="23">
        <v>2.0</v>
      </c>
      <c r="J7" s="23">
        <v>3.0</v>
      </c>
      <c r="K7" s="23">
        <v>4.0</v>
      </c>
      <c r="L7" s="23">
        <v>5.0</v>
      </c>
      <c r="M7" s="23">
        <v>6.0</v>
      </c>
      <c r="N7" s="23">
        <v>7.0</v>
      </c>
      <c r="O7" s="23">
        <v>8.0</v>
      </c>
      <c r="P7" s="23">
        <v>9.0</v>
      </c>
      <c r="Q7" s="23">
        <v>10.0</v>
      </c>
      <c r="R7" s="23">
        <v>11.0</v>
      </c>
      <c r="S7" s="23">
        <v>12.0</v>
      </c>
      <c r="T7" s="23">
        <v>13.0</v>
      </c>
      <c r="U7" s="23">
        <v>14.0</v>
      </c>
      <c r="V7" s="23">
        <v>15.0</v>
      </c>
      <c r="W7" s="23">
        <v>16.0</v>
      </c>
    </row>
    <row r="8" ht="14.25" customHeight="1">
      <c r="A8" s="25"/>
      <c r="B8" s="25"/>
      <c r="C8" s="25"/>
      <c r="D8" s="25"/>
      <c r="E8" s="25"/>
      <c r="F8" s="25"/>
      <c r="G8" s="25"/>
      <c r="H8" s="26" t="s">
        <v>89</v>
      </c>
      <c r="I8" s="26" t="s">
        <v>92</v>
      </c>
      <c r="J8" s="26" t="s">
        <v>93</v>
      </c>
      <c r="K8" s="26" t="s">
        <v>94</v>
      </c>
      <c r="L8" s="26" t="s">
        <v>95</v>
      </c>
      <c r="M8" s="26" t="s">
        <v>96</v>
      </c>
      <c r="N8" s="26" t="s">
        <v>97</v>
      </c>
      <c r="O8" s="26" t="s">
        <v>98</v>
      </c>
      <c r="P8" s="26" t="s">
        <v>100</v>
      </c>
      <c r="Q8" s="26" t="s">
        <v>101</v>
      </c>
      <c r="R8" s="26" t="s">
        <v>103</v>
      </c>
      <c r="S8" s="26" t="s">
        <v>105</v>
      </c>
      <c r="T8" s="26" t="s">
        <v>106</v>
      </c>
      <c r="U8" s="26" t="s">
        <v>107</v>
      </c>
      <c r="V8" s="26" t="s">
        <v>108</v>
      </c>
      <c r="W8" s="26" t="s">
        <v>109</v>
      </c>
    </row>
    <row r="9" ht="14.25" customHeight="1">
      <c r="A9" s="27" t="s">
        <v>112</v>
      </c>
      <c r="B9" s="28" t="s">
        <v>115</v>
      </c>
      <c r="C9" s="29">
        <v>1.0</v>
      </c>
      <c r="D9" s="29">
        <v>4.0</v>
      </c>
      <c r="E9" s="29">
        <f t="shared" ref="E9:E27" si="1">COUNTIF(H9:W9,"X")+COUNTIF(H9:W9,"o")</f>
        <v>4</v>
      </c>
      <c r="F9" s="30" t="str">
        <f>IF(G9&gt;=1,"Completada",IF(G9&lt;=0,"Pendiente","En curso"))</f>
        <v>Completada</v>
      </c>
      <c r="G9" s="31">
        <v>1.0</v>
      </c>
      <c r="H9" s="32" t="str">
        <f>IF($C9="","",IF(AND(H$7&gt;=$C9,H$7&lt;=$D9),IF(H$7&lt;=SemanaActual,"X","o"),""))</f>
        <v>X</v>
      </c>
      <c r="I9" s="32" t="str">
        <f>IF($C9="","",IF(AND(I$7&gt;=$C9,I$7&lt;=$D9),IF(I$7&lt;=SemanaActual,"X","o"),""))</f>
        <v>X</v>
      </c>
      <c r="J9" s="32" t="str">
        <f>IF($C9="","",IF(AND(J$7&gt;=$C9,J$7&lt;=$D9),IF(J$7&lt;=SemanaActual,"X","o"),""))</f>
        <v>X</v>
      </c>
      <c r="K9" s="32" t="str">
        <f>IF($C9="","",IF(AND(K$7&gt;=$C9,K$7&lt;=$D9),IF(K$7&lt;=SemanaActual,"X","o"),""))</f>
        <v>X</v>
      </c>
      <c r="L9" s="32" t="str">
        <f>IF($C9="","",IF(AND(L$7&gt;=$C9,L$7&lt;=$D9),IF(L$7&lt;=SemanaActual,"X","o"),""))</f>
        <v/>
      </c>
      <c r="M9" s="32" t="str">
        <f>IF($C9="","",IF(AND(M$7&gt;=$C9,M$7&lt;=$D9),IF(M$7&lt;=SemanaActual,"X","o"),""))</f>
        <v/>
      </c>
      <c r="N9" s="32" t="str">
        <f>IF($C9="","",IF(AND(N$7&gt;=$C9,N$7&lt;=$D9),IF(N$7&lt;=SemanaActual,"X","o"),""))</f>
        <v/>
      </c>
      <c r="O9" s="32" t="str">
        <f>IF($C9="","",IF(AND(O$7&gt;=$C9,O$7&lt;=$D9),IF(O$7&lt;=SemanaActual,"X","o"),""))</f>
        <v/>
      </c>
      <c r="P9" s="32" t="str">
        <f>IF($C9="","",IF(AND(P$7&gt;=$C9,P$7&lt;=$D9),IF(P$7&lt;=SemanaActual,"X","o"),""))</f>
        <v/>
      </c>
      <c r="Q9" s="32" t="str">
        <f>IF($C9="","",IF(AND(Q$7&gt;=$C9,Q$7&lt;=$D9),IF(Q$7&lt;=SemanaActual,"X","o"),""))</f>
        <v/>
      </c>
      <c r="R9" s="32" t="str">
        <f>IF($C9="","",IF(AND(R$7&gt;=$C9,R$7&lt;=$D9),IF(R$7&lt;=SemanaActual,"X","o"),""))</f>
        <v/>
      </c>
      <c r="S9" s="32" t="str">
        <f>IF($C9="","",IF(AND(S$7&gt;=$C9,S$7&lt;=$D9),IF(S$7&lt;=SemanaActual,"X","o"),""))</f>
        <v/>
      </c>
      <c r="T9" s="32" t="str">
        <f>IF($C9="","",IF(AND(T$7&gt;=$C9,T$7&lt;=$D9),IF(T$7&lt;=SemanaActual,"X","o"),""))</f>
        <v/>
      </c>
      <c r="U9" s="32" t="str">
        <f>IF($C9="","",IF(AND(U$7&gt;=$C9,U$7&lt;=$D9),IF(U$7&lt;=SemanaActual,"X","o"),""))</f>
        <v/>
      </c>
      <c r="V9" s="32" t="str">
        <f>IF($C9="","",IF(AND(V$7&gt;=$C9,V$7&lt;=$D9),IF(V$7&lt;=SemanaActual,"X","o"),""))</f>
        <v/>
      </c>
      <c r="W9" s="32" t="str">
        <f>IF($C9="","",IF(AND(W$7&gt;=$C9,W$7&lt;=$D9),IF(W$7&lt;=SemanaActual,"X","o"),""))</f>
        <v/>
      </c>
    </row>
    <row r="10" ht="14.25" customHeight="1">
      <c r="A10" s="27" t="s">
        <v>39</v>
      </c>
      <c r="B10" s="28" t="s">
        <v>40</v>
      </c>
      <c r="C10" s="29">
        <v>2.0</v>
      </c>
      <c r="D10" s="29">
        <v>4.0</v>
      </c>
      <c r="E10" s="29">
        <f t="shared" si="1"/>
        <v>3</v>
      </c>
      <c r="F10" s="30" t="str">
        <f>IF(SUMIFS(Backlog!$D$6:$D$36,Backlog!$H$6:$H$36,$A10)=0,"Sin historias",IF(SUMIFS(Backlog!$D$6:$D$36,Backlog!$H$6:$H$36,$A10,Backlog!$G$6:$G$36,"Fuera del compromiso")=SUMIFS(Backlog!$D$6:$D$36,Backlog!$H$6:$H$36,$A10),"Fuera del compromiso",IF(G10&gt;=1,"Completada",IF(G10&lt;=0,"Pendiente","En curso"))))</f>
        <v>Completada</v>
      </c>
      <c r="G10" s="31">
        <f>IFERROR((SUMIFS(Backlog!$D$6:$D$36,Backlog!$H$6:$H$36,$A10,Backlog!$G$6:$G$36,"Terminada")+SUMIFS(Backlog!$D$6:$D$36,Backlog!$H$6:$H$36,$A10,Backlog!$G$6:$G$36,"En curso")*0.5)/SUMIFS(Backlog!$D$6:$D$36,Backlog!$H$6:$H$36,$A10),0)</f>
        <v>1</v>
      </c>
      <c r="H10" s="32" t="str">
        <f>IF($C10="","",IF(AND(H$7&gt;=$C10,H$7&lt;=$D10),IF(H$7&lt;=SemanaActual,"X","o"),""))</f>
        <v/>
      </c>
      <c r="I10" s="32" t="str">
        <f>IF($C10="","",IF(AND(I$7&gt;=$C10,I$7&lt;=$D10),IF(I$7&lt;=SemanaActual,"X","o"),""))</f>
        <v>X</v>
      </c>
      <c r="J10" s="32" t="str">
        <f>IF($C10="","",IF(AND(J$7&gt;=$C10,J$7&lt;=$D10),IF(J$7&lt;=SemanaActual,"X","o"),""))</f>
        <v>X</v>
      </c>
      <c r="K10" s="32" t="str">
        <f>IF($C10="","",IF(AND(K$7&gt;=$C10,K$7&lt;=$D10),IF(K$7&lt;=SemanaActual,"X","o"),""))</f>
        <v>X</v>
      </c>
      <c r="L10" s="32" t="str">
        <f>IF($C10="","",IF(AND(L$7&gt;=$C10,L$7&lt;=$D10),IF(L$7&lt;=SemanaActual,"X","o"),""))</f>
        <v/>
      </c>
      <c r="M10" s="32" t="str">
        <f>IF($C10="","",IF(AND(M$7&gt;=$C10,M$7&lt;=$D10),IF(M$7&lt;=SemanaActual,"X","o"),""))</f>
        <v/>
      </c>
      <c r="N10" s="32" t="str">
        <f>IF($C10="","",IF(AND(N$7&gt;=$C10,N$7&lt;=$D10),IF(N$7&lt;=SemanaActual,"X","o"),""))</f>
        <v/>
      </c>
      <c r="O10" s="32" t="str">
        <f>IF($C10="","",IF(AND(O$7&gt;=$C10,O$7&lt;=$D10),IF(O$7&lt;=SemanaActual,"X","o"),""))</f>
        <v/>
      </c>
      <c r="P10" s="32" t="str">
        <f>IF($C10="","",IF(AND(P$7&gt;=$C10,P$7&lt;=$D10),IF(P$7&lt;=SemanaActual,"X","o"),""))</f>
        <v/>
      </c>
      <c r="Q10" s="32" t="str">
        <f>IF($C10="","",IF(AND(Q$7&gt;=$C10,Q$7&lt;=$D10),IF(Q$7&lt;=SemanaActual,"X","o"),""))</f>
        <v/>
      </c>
      <c r="R10" s="32" t="str">
        <f>IF($C10="","",IF(AND(R$7&gt;=$C10,R$7&lt;=$D10),IF(R$7&lt;=SemanaActual,"X","o"),""))</f>
        <v/>
      </c>
      <c r="S10" s="32" t="str">
        <f>IF($C10="","",IF(AND(S$7&gt;=$C10,S$7&lt;=$D10),IF(S$7&lt;=SemanaActual,"X","o"),""))</f>
        <v/>
      </c>
      <c r="T10" s="32" t="str">
        <f>IF($C10="","",IF(AND(T$7&gt;=$C10,T$7&lt;=$D10),IF(T$7&lt;=SemanaActual,"X","o"),""))</f>
        <v/>
      </c>
      <c r="U10" s="32" t="str">
        <f>IF($C10="","",IF(AND(U$7&gt;=$C10,U$7&lt;=$D10),IF(U$7&lt;=SemanaActual,"X","o"),""))</f>
        <v/>
      </c>
      <c r="V10" s="32" t="str">
        <f>IF($C10="","",IF(AND(V$7&gt;=$C10,V$7&lt;=$D10),IF(V$7&lt;=SemanaActual,"X","o"),""))</f>
        <v/>
      </c>
      <c r="W10" s="32" t="str">
        <f>IF($C10="","",IF(AND(W$7&gt;=$C10,W$7&lt;=$D10),IF(W$7&lt;=SemanaActual,"X","o"),""))</f>
        <v/>
      </c>
    </row>
    <row r="11" ht="14.25" customHeight="1">
      <c r="A11" s="27" t="s">
        <v>196</v>
      </c>
      <c r="B11" s="28" t="s">
        <v>58</v>
      </c>
      <c r="C11" s="29">
        <v>3.0</v>
      </c>
      <c r="D11" s="29">
        <v>5.0</v>
      </c>
      <c r="E11" s="29">
        <f t="shared" si="1"/>
        <v>3</v>
      </c>
      <c r="F11" s="30" t="str">
        <f>IF(SUMIFS(Backlog!$D$6:$D$36,Backlog!$H$6:$H$36,$A11)=0,"Sin historias",IF(SUMIFS(Backlog!$D$6:$D$36,Backlog!$H$6:$H$36,$A11,Backlog!$G$6:$G$36,"Fuera del compromiso")=SUMIFS(Backlog!$D$6:$D$36,Backlog!$H$6:$H$36,$A11),"Fuera del compromiso",IF(G11&gt;=1,"Completada",IF(G11&lt;=0,"Pendiente","En curso"))))</f>
        <v>Completada</v>
      </c>
      <c r="G11" s="31">
        <f>IFERROR((SUMIFS(Backlog!$D$6:$D$36,Backlog!$H$6:$H$36,$A11,Backlog!$G$6:$G$36,"Terminada")+SUMIFS(Backlog!$D$6:$D$36,Backlog!$H$6:$H$36,$A11,Backlog!$G$6:$G$36,"En curso")*0.5)/SUMIFS(Backlog!$D$6:$D$36,Backlog!$H$6:$H$36,$A11),0)</f>
        <v>1</v>
      </c>
      <c r="H11" s="32" t="str">
        <f>IF($C11="","",IF(AND(H$7&gt;=$C11,H$7&lt;=$D11),IF(H$7&lt;=SemanaActual,"X","o"),""))</f>
        <v/>
      </c>
      <c r="I11" s="32" t="str">
        <f>IF($C11="","",IF(AND(I$7&gt;=$C11,I$7&lt;=$D11),IF(I$7&lt;=SemanaActual,"X","o"),""))</f>
        <v/>
      </c>
      <c r="J11" s="32" t="str">
        <f>IF($C11="","",IF(AND(J$7&gt;=$C11,J$7&lt;=$D11),IF(J$7&lt;=SemanaActual,"X","o"),""))</f>
        <v>X</v>
      </c>
      <c r="K11" s="32" t="str">
        <f>IF($C11="","",IF(AND(K$7&gt;=$C11,K$7&lt;=$D11),IF(K$7&lt;=SemanaActual,"X","o"),""))</f>
        <v>X</v>
      </c>
      <c r="L11" s="32" t="str">
        <f>IF($C11="","",IF(AND(L$7&gt;=$C11,L$7&lt;=$D11),IF(L$7&lt;=SemanaActual,"X","o"),""))</f>
        <v>o</v>
      </c>
      <c r="M11" s="32" t="str">
        <f>IF($C11="","",IF(AND(M$7&gt;=$C11,M$7&lt;=$D11),IF(M$7&lt;=SemanaActual,"X","o"),""))</f>
        <v/>
      </c>
      <c r="N11" s="32" t="str">
        <f>IF($C11="","",IF(AND(N$7&gt;=$C11,N$7&lt;=$D11),IF(N$7&lt;=SemanaActual,"X","o"),""))</f>
        <v/>
      </c>
      <c r="O11" s="32" t="str">
        <f>IF($C11="","",IF(AND(O$7&gt;=$C11,O$7&lt;=$D11),IF(O$7&lt;=SemanaActual,"X","o"),""))</f>
        <v/>
      </c>
      <c r="P11" s="32" t="str">
        <f>IF($C11="","",IF(AND(P$7&gt;=$C11,P$7&lt;=$D11),IF(P$7&lt;=SemanaActual,"X","o"),""))</f>
        <v/>
      </c>
      <c r="Q11" s="32" t="str">
        <f>IF($C11="","",IF(AND(Q$7&gt;=$C11,Q$7&lt;=$D11),IF(Q$7&lt;=SemanaActual,"X","o"),""))</f>
        <v/>
      </c>
      <c r="R11" s="32" t="str">
        <f>IF($C11="","",IF(AND(R$7&gt;=$C11,R$7&lt;=$D11),IF(R$7&lt;=SemanaActual,"X","o"),""))</f>
        <v/>
      </c>
      <c r="S11" s="32" t="str">
        <f>IF($C11="","",IF(AND(S$7&gt;=$C11,S$7&lt;=$D11),IF(S$7&lt;=SemanaActual,"X","o"),""))</f>
        <v/>
      </c>
      <c r="T11" s="32" t="str">
        <f>IF($C11="","",IF(AND(T$7&gt;=$C11,T$7&lt;=$D11),IF(T$7&lt;=SemanaActual,"X","o"),""))</f>
        <v/>
      </c>
      <c r="U11" s="32" t="str">
        <f>IF($C11="","",IF(AND(U$7&gt;=$C11,U$7&lt;=$D11),IF(U$7&lt;=SemanaActual,"X","o"),""))</f>
        <v/>
      </c>
      <c r="V11" s="32" t="str">
        <f>IF($C11="","",IF(AND(V$7&gt;=$C11,V$7&lt;=$D11),IF(V$7&lt;=SemanaActual,"X","o"),""))</f>
        <v/>
      </c>
      <c r="W11" s="32" t="str">
        <f>IF($C11="","",IF(AND(W$7&gt;=$C11,W$7&lt;=$D11),IF(W$7&lt;=SemanaActual,"X","o"),""))</f>
        <v/>
      </c>
    </row>
    <row r="12" ht="14.25" customHeight="1">
      <c r="A12" s="27" t="s">
        <v>45</v>
      </c>
      <c r="B12" s="28" t="s">
        <v>40</v>
      </c>
      <c r="C12" s="29">
        <v>3.0</v>
      </c>
      <c r="D12" s="29">
        <v>5.0</v>
      </c>
      <c r="E12" s="29">
        <f t="shared" si="1"/>
        <v>3</v>
      </c>
      <c r="F12" s="30" t="str">
        <f>IF(SUMIFS(Backlog!$D$6:$D$36,Backlog!$H$6:$H$36,$A12)=0,"Sin historias",IF(SUMIFS(Backlog!$D$6:$D$36,Backlog!$H$6:$H$36,$A12,Backlog!$G$6:$G$36,"Fuera del compromiso")=SUMIFS(Backlog!$D$6:$D$36,Backlog!$H$6:$H$36,$A12),"Fuera del compromiso",IF(G12&gt;=1,"Completada",IF(G12&lt;=0,"Pendiente","En curso"))))</f>
        <v>Completada</v>
      </c>
      <c r="G12" s="31">
        <f>IFERROR((SUMIFS(Backlog!$D$6:$D$36,Backlog!$H$6:$H$36,$A12,Backlog!$G$6:$G$36,"Terminada")+SUMIFS(Backlog!$D$6:$D$36,Backlog!$H$6:$H$36,$A12,Backlog!$G$6:$G$36,"En curso")*0.5)/SUMIFS(Backlog!$D$6:$D$36,Backlog!$H$6:$H$36,$A12),0)</f>
        <v>1</v>
      </c>
      <c r="H12" s="32" t="str">
        <f>IF($C12="","",IF(AND(H$7&gt;=$C12,H$7&lt;=$D12),IF(H$7&lt;=SemanaActual,"X","o"),""))</f>
        <v/>
      </c>
      <c r="I12" s="32" t="str">
        <f>IF($C12="","",IF(AND(I$7&gt;=$C12,I$7&lt;=$D12),IF(I$7&lt;=SemanaActual,"X","o"),""))</f>
        <v/>
      </c>
      <c r="J12" s="32" t="str">
        <f>IF($C12="","",IF(AND(J$7&gt;=$C12,J$7&lt;=$D12),IF(J$7&lt;=SemanaActual,"X","o"),""))</f>
        <v>X</v>
      </c>
      <c r="K12" s="32" t="str">
        <f>IF($C12="","",IF(AND(K$7&gt;=$C12,K$7&lt;=$D12),IF(K$7&lt;=SemanaActual,"X","o"),""))</f>
        <v>X</v>
      </c>
      <c r="L12" s="32" t="str">
        <f>IF($C12="","",IF(AND(L$7&gt;=$C12,L$7&lt;=$D12),IF(L$7&lt;=SemanaActual,"X","o"),""))</f>
        <v>o</v>
      </c>
      <c r="M12" s="32" t="str">
        <f>IF($C12="","",IF(AND(M$7&gt;=$C12,M$7&lt;=$D12),IF(M$7&lt;=SemanaActual,"X","o"),""))</f>
        <v/>
      </c>
      <c r="N12" s="32" t="str">
        <f>IF($C12="","",IF(AND(N$7&gt;=$C12,N$7&lt;=$D12),IF(N$7&lt;=SemanaActual,"X","o"),""))</f>
        <v/>
      </c>
      <c r="O12" s="32" t="str">
        <f>IF($C12="","",IF(AND(O$7&gt;=$C12,O$7&lt;=$D12),IF(O$7&lt;=SemanaActual,"X","o"),""))</f>
        <v/>
      </c>
      <c r="P12" s="32" t="str">
        <f>IF($C12="","",IF(AND(P$7&gt;=$C12,P$7&lt;=$D12),IF(P$7&lt;=SemanaActual,"X","o"),""))</f>
        <v/>
      </c>
      <c r="Q12" s="32" t="str">
        <f>IF($C12="","",IF(AND(Q$7&gt;=$C12,Q$7&lt;=$D12),IF(Q$7&lt;=SemanaActual,"X","o"),""))</f>
        <v/>
      </c>
      <c r="R12" s="32" t="str">
        <f>IF($C12="","",IF(AND(R$7&gt;=$C12,R$7&lt;=$D12),IF(R$7&lt;=SemanaActual,"X","o"),""))</f>
        <v/>
      </c>
      <c r="S12" s="32" t="str">
        <f>IF($C12="","",IF(AND(S$7&gt;=$C12,S$7&lt;=$D12),IF(S$7&lt;=SemanaActual,"X","o"),""))</f>
        <v/>
      </c>
      <c r="T12" s="32" t="str">
        <f>IF($C12="","",IF(AND(T$7&gt;=$C12,T$7&lt;=$D12),IF(T$7&lt;=SemanaActual,"X","o"),""))</f>
        <v/>
      </c>
      <c r="U12" s="32" t="str">
        <f>IF($C12="","",IF(AND(U$7&gt;=$C12,U$7&lt;=$D12),IF(U$7&lt;=SemanaActual,"X","o"),""))</f>
        <v/>
      </c>
      <c r="V12" s="32" t="str">
        <f>IF($C12="","",IF(AND(V$7&gt;=$C12,V$7&lt;=$D12),IF(V$7&lt;=SemanaActual,"X","o"),""))</f>
        <v/>
      </c>
      <c r="W12" s="32" t="str">
        <f>IF($C12="","",IF(AND(W$7&gt;=$C12,W$7&lt;=$D12),IF(W$7&lt;=SemanaActual,"X","o"),""))</f>
        <v/>
      </c>
    </row>
    <row r="13" ht="14.25" customHeight="1">
      <c r="A13" s="27" t="s">
        <v>86</v>
      </c>
      <c r="B13" s="28" t="s">
        <v>110</v>
      </c>
      <c r="C13" s="29">
        <v>4.0</v>
      </c>
      <c r="D13" s="29">
        <v>5.0</v>
      </c>
      <c r="E13" s="29">
        <f t="shared" si="1"/>
        <v>2</v>
      </c>
      <c r="F13" s="30" t="str">
        <f>IF(SUMIFS(Backlog!$D$6:$D$36,Backlog!$H$6:$H$36,$A13)=0,"Sin historias",IF(SUMIFS(Backlog!$D$6:$D$36,Backlog!$H$6:$H$36,$A13,Backlog!$G$6:$G$36,"Fuera del compromiso")=SUMIFS(Backlog!$D$6:$D$36,Backlog!$H$6:$H$36,$A13),"Fuera del compromiso",IF(G13&gt;=1,"Completada",IF(G13&lt;=0,"Pendiente","En curso"))))</f>
        <v>Completada</v>
      </c>
      <c r="G13" s="31">
        <f>IFERROR((SUMIFS(Backlog!$D$6:$D$36,Backlog!$H$6:$H$36,$A13,Backlog!$G$6:$G$36,"Terminada")+SUMIFS(Backlog!$D$6:$D$36,Backlog!$H$6:$H$36,$A13,Backlog!$G$6:$G$36,"En curso")*0.5)/SUMIFS(Backlog!$D$6:$D$36,Backlog!$H$6:$H$36,$A13),0)</f>
        <v>1</v>
      </c>
      <c r="H13" s="32" t="str">
        <f>IF($C13="","",IF(AND(H$7&gt;=$C13,H$7&lt;=$D13),IF(H$7&lt;=SemanaActual,"X","o"),""))</f>
        <v/>
      </c>
      <c r="I13" s="32" t="str">
        <f>IF($C13="","",IF(AND(I$7&gt;=$C13,I$7&lt;=$D13),IF(I$7&lt;=SemanaActual,"X","o"),""))</f>
        <v/>
      </c>
      <c r="J13" s="32" t="str">
        <f>IF($C13="","",IF(AND(J$7&gt;=$C13,J$7&lt;=$D13),IF(J$7&lt;=SemanaActual,"X","o"),""))</f>
        <v/>
      </c>
      <c r="K13" s="32" t="str">
        <f>IF($C13="","",IF(AND(K$7&gt;=$C13,K$7&lt;=$D13),IF(K$7&lt;=SemanaActual,"X","o"),""))</f>
        <v>X</v>
      </c>
      <c r="L13" s="32" t="str">
        <f>IF($C13="","",IF(AND(L$7&gt;=$C13,L$7&lt;=$D13),IF(L$7&lt;=SemanaActual,"X","o"),""))</f>
        <v>o</v>
      </c>
      <c r="M13" s="32" t="str">
        <f>IF($C13="","",IF(AND(M$7&gt;=$C13,M$7&lt;=$D13),IF(M$7&lt;=SemanaActual,"X","o"),""))</f>
        <v/>
      </c>
      <c r="N13" s="32" t="str">
        <f>IF($C13="","",IF(AND(N$7&gt;=$C13,N$7&lt;=$D13),IF(N$7&lt;=SemanaActual,"X","o"),""))</f>
        <v/>
      </c>
      <c r="O13" s="32" t="str">
        <f>IF($C13="","",IF(AND(O$7&gt;=$C13,O$7&lt;=$D13),IF(O$7&lt;=SemanaActual,"X","o"),""))</f>
        <v/>
      </c>
      <c r="P13" s="32" t="str">
        <f>IF($C13="","",IF(AND(P$7&gt;=$C13,P$7&lt;=$D13),IF(P$7&lt;=SemanaActual,"X","o"),""))</f>
        <v/>
      </c>
      <c r="Q13" s="32" t="str">
        <f>IF($C13="","",IF(AND(Q$7&gt;=$C13,Q$7&lt;=$D13),IF(Q$7&lt;=SemanaActual,"X","o"),""))</f>
        <v/>
      </c>
      <c r="R13" s="32" t="str">
        <f>IF($C13="","",IF(AND(R$7&gt;=$C13,R$7&lt;=$D13),IF(R$7&lt;=SemanaActual,"X","o"),""))</f>
        <v/>
      </c>
      <c r="S13" s="32" t="str">
        <f>IF($C13="","",IF(AND(S$7&gt;=$C13,S$7&lt;=$D13),IF(S$7&lt;=SemanaActual,"X","o"),""))</f>
        <v/>
      </c>
      <c r="T13" s="32" t="str">
        <f>IF($C13="","",IF(AND(T$7&gt;=$C13,T$7&lt;=$D13),IF(T$7&lt;=SemanaActual,"X","o"),""))</f>
        <v/>
      </c>
      <c r="U13" s="32" t="str">
        <f>IF($C13="","",IF(AND(U$7&gt;=$C13,U$7&lt;=$D13),IF(U$7&lt;=SemanaActual,"X","o"),""))</f>
        <v/>
      </c>
      <c r="V13" s="32" t="str">
        <f>IF($C13="","",IF(AND(V$7&gt;=$C13,V$7&lt;=$D13),IF(V$7&lt;=SemanaActual,"X","o"),""))</f>
        <v/>
      </c>
      <c r="W13" s="32" t="str">
        <f>IF($C13="","",IF(AND(W$7&gt;=$C13,W$7&lt;=$D13),IF(W$7&lt;=SemanaActual,"X","o"),""))</f>
        <v/>
      </c>
    </row>
    <row r="14" ht="14.25" customHeight="1">
      <c r="A14" s="27" t="s">
        <v>65</v>
      </c>
      <c r="B14" s="28" t="s">
        <v>58</v>
      </c>
      <c r="C14" s="29">
        <v>4.0</v>
      </c>
      <c r="D14" s="29">
        <v>5.0</v>
      </c>
      <c r="E14" s="29">
        <f t="shared" si="1"/>
        <v>2</v>
      </c>
      <c r="F14" s="30" t="str">
        <f>IF(SUMIFS(Backlog!$D$6:$D$36,Backlog!$H$6:$H$36,$A14)=0,"Sin historias",IF(SUMIFS(Backlog!$D$6:$D$36,Backlog!$H$6:$H$36,$A14,Backlog!$G$6:$G$36,"Fuera del compromiso")=SUMIFS(Backlog!$D$6:$D$36,Backlog!$H$6:$H$36,$A14),"Fuera del compromiso",IF(G14&gt;=1,"Completada",IF(G14&lt;=0,"Pendiente","En curso"))))</f>
        <v>Completada</v>
      </c>
      <c r="G14" s="31">
        <f>IFERROR((SUMIFS(Backlog!$D$6:$D$36,Backlog!$H$6:$H$36,$A14,Backlog!$G$6:$G$36,"Terminada")+SUMIFS(Backlog!$D$6:$D$36,Backlog!$H$6:$H$36,$A14,Backlog!$G$6:$G$36,"En curso")*0.5)/SUMIFS(Backlog!$D$6:$D$36,Backlog!$H$6:$H$36,$A14),0)</f>
        <v>1</v>
      </c>
      <c r="H14" s="32" t="str">
        <f>IF($C14="","",IF(AND(H$7&gt;=$C14,H$7&lt;=$D14),IF(H$7&lt;=SemanaActual,"X","o"),""))</f>
        <v/>
      </c>
      <c r="I14" s="32" t="str">
        <f>IF($C14="","",IF(AND(I$7&gt;=$C14,I$7&lt;=$D14),IF(I$7&lt;=SemanaActual,"X","o"),""))</f>
        <v/>
      </c>
      <c r="J14" s="32" t="str">
        <f>IF($C14="","",IF(AND(J$7&gt;=$C14,J$7&lt;=$D14),IF(J$7&lt;=SemanaActual,"X","o"),""))</f>
        <v/>
      </c>
      <c r="K14" s="32" t="str">
        <f>IF($C14="","",IF(AND(K$7&gt;=$C14,K$7&lt;=$D14),IF(K$7&lt;=SemanaActual,"X","o"),""))</f>
        <v>X</v>
      </c>
      <c r="L14" s="32" t="str">
        <f>IF($C14="","",IF(AND(L$7&gt;=$C14,L$7&lt;=$D14),IF(L$7&lt;=SemanaActual,"X","o"),""))</f>
        <v>o</v>
      </c>
      <c r="M14" s="32" t="str">
        <f>IF($C14="","",IF(AND(M$7&gt;=$C14,M$7&lt;=$D14),IF(M$7&lt;=SemanaActual,"X","o"),""))</f>
        <v/>
      </c>
      <c r="N14" s="32" t="str">
        <f>IF($C14="","",IF(AND(N$7&gt;=$C14,N$7&lt;=$D14),IF(N$7&lt;=SemanaActual,"X","o"),""))</f>
        <v/>
      </c>
      <c r="O14" s="32" t="str">
        <f>IF($C14="","",IF(AND(O$7&gt;=$C14,O$7&lt;=$D14),IF(O$7&lt;=SemanaActual,"X","o"),""))</f>
        <v/>
      </c>
      <c r="P14" s="32" t="str">
        <f>IF($C14="","",IF(AND(P$7&gt;=$C14,P$7&lt;=$D14),IF(P$7&lt;=SemanaActual,"X","o"),""))</f>
        <v/>
      </c>
      <c r="Q14" s="32" t="str">
        <f>IF($C14="","",IF(AND(Q$7&gt;=$C14,Q$7&lt;=$D14),IF(Q$7&lt;=SemanaActual,"X","o"),""))</f>
        <v/>
      </c>
      <c r="R14" s="32" t="str">
        <f>IF($C14="","",IF(AND(R$7&gt;=$C14,R$7&lt;=$D14),IF(R$7&lt;=SemanaActual,"X","o"),""))</f>
        <v/>
      </c>
      <c r="S14" s="32" t="str">
        <f>IF($C14="","",IF(AND(S$7&gt;=$C14,S$7&lt;=$D14),IF(S$7&lt;=SemanaActual,"X","o"),""))</f>
        <v/>
      </c>
      <c r="T14" s="32" t="str">
        <f>IF($C14="","",IF(AND(T$7&gt;=$C14,T$7&lt;=$D14),IF(T$7&lt;=SemanaActual,"X","o"),""))</f>
        <v/>
      </c>
      <c r="U14" s="32" t="str">
        <f>IF($C14="","",IF(AND(U$7&gt;=$C14,U$7&lt;=$D14),IF(U$7&lt;=SemanaActual,"X","o"),""))</f>
        <v/>
      </c>
      <c r="V14" s="32" t="str">
        <f>IF($C14="","",IF(AND(V$7&gt;=$C14,V$7&lt;=$D14),IF(V$7&lt;=SemanaActual,"X","o"),""))</f>
        <v/>
      </c>
      <c r="W14" s="32" t="str">
        <f>IF($C14="","",IF(AND(W$7&gt;=$C14,W$7&lt;=$D14),IF(W$7&lt;=SemanaActual,"X","o"),""))</f>
        <v/>
      </c>
    </row>
    <row r="15" ht="14.25" customHeight="1">
      <c r="A15" s="27" t="s">
        <v>120</v>
      </c>
      <c r="B15" s="28" t="s">
        <v>121</v>
      </c>
      <c r="C15" s="29">
        <v>5.0</v>
      </c>
      <c r="D15" s="29">
        <v>5.0</v>
      </c>
      <c r="E15" s="29">
        <f t="shared" si="1"/>
        <v>1</v>
      </c>
      <c r="F15" s="30" t="str">
        <f>IF(SUMIFS(Backlog!$D$6:$D$36,Backlog!$H$6:$H$36,$A15)=0,"Sin historias",IF(SUMIFS(Backlog!$D$6:$D$36,Backlog!$H$6:$H$36,$A15,Backlog!$G$6:$G$36,"Fuera del compromiso")=SUMIFS(Backlog!$D$6:$D$36,Backlog!$H$6:$H$36,$A15),"Fuera del compromiso",IF(G15&gt;=1,"Completada",IF(G15&lt;=0,"Pendiente","En curso"))))</f>
        <v>Completada</v>
      </c>
      <c r="G15" s="31">
        <f>IFERROR((SUMIFS(Backlog!$D$6:$D$36,Backlog!$H$6:$H$36,$A15,Backlog!$G$6:$G$36,"Terminada")+SUMIFS(Backlog!$D$6:$D$36,Backlog!$H$6:$H$36,$A15,Backlog!$G$6:$G$36,"En curso")*0.5)/SUMIFS(Backlog!$D$6:$D$36,Backlog!$H$6:$H$36,$A15),0)</f>
        <v>1</v>
      </c>
      <c r="H15" s="32" t="str">
        <f>IF($C15="","",IF(AND(H$7&gt;=$C15,H$7&lt;=$D15),IF(H$7&lt;=SemanaActual,"X","o"),""))</f>
        <v/>
      </c>
      <c r="I15" s="32" t="str">
        <f>IF($C15="","",IF(AND(I$7&gt;=$C15,I$7&lt;=$D15),IF(I$7&lt;=SemanaActual,"X","o"),""))</f>
        <v/>
      </c>
      <c r="J15" s="32" t="str">
        <f>IF($C15="","",IF(AND(J$7&gt;=$C15,J$7&lt;=$D15),IF(J$7&lt;=SemanaActual,"X","o"),""))</f>
        <v/>
      </c>
      <c r="K15" s="32" t="str">
        <f>IF($C15="","",IF(AND(K$7&gt;=$C15,K$7&lt;=$D15),IF(K$7&lt;=SemanaActual,"X","o"),""))</f>
        <v/>
      </c>
      <c r="L15" s="32" t="str">
        <f>IF($C15="","",IF(AND(L$7&gt;=$C15,L$7&lt;=$D15),IF(L$7&lt;=SemanaActual,"X","o"),""))</f>
        <v>o</v>
      </c>
      <c r="M15" s="32" t="str">
        <f>IF($C15="","",IF(AND(M$7&gt;=$C15,M$7&lt;=$D15),IF(M$7&lt;=SemanaActual,"X","o"),""))</f>
        <v/>
      </c>
      <c r="N15" s="32" t="str">
        <f>IF($C15="","",IF(AND(N$7&gt;=$C15,N$7&lt;=$D15),IF(N$7&lt;=SemanaActual,"X","o"),""))</f>
        <v/>
      </c>
      <c r="O15" s="32" t="str">
        <f>IF($C15="","",IF(AND(O$7&gt;=$C15,O$7&lt;=$D15),IF(O$7&lt;=SemanaActual,"X","o"),""))</f>
        <v/>
      </c>
      <c r="P15" s="32" t="str">
        <f>IF($C15="","",IF(AND(P$7&gt;=$C15,P$7&lt;=$D15),IF(P$7&lt;=SemanaActual,"X","o"),""))</f>
        <v/>
      </c>
      <c r="Q15" s="32" t="str">
        <f>IF($C15="","",IF(AND(Q$7&gt;=$C15,Q$7&lt;=$D15),IF(Q$7&lt;=SemanaActual,"X","o"),""))</f>
        <v/>
      </c>
      <c r="R15" s="32" t="str">
        <f>IF($C15="","",IF(AND(R$7&gt;=$C15,R$7&lt;=$D15),IF(R$7&lt;=SemanaActual,"X","o"),""))</f>
        <v/>
      </c>
      <c r="S15" s="32" t="str">
        <f>IF($C15="","",IF(AND(S$7&gt;=$C15,S$7&lt;=$D15),IF(S$7&lt;=SemanaActual,"X","o"),""))</f>
        <v/>
      </c>
      <c r="T15" s="32" t="str">
        <f>IF($C15="","",IF(AND(T$7&gt;=$C15,T$7&lt;=$D15),IF(T$7&lt;=SemanaActual,"X","o"),""))</f>
        <v/>
      </c>
      <c r="U15" s="32" t="str">
        <f>IF($C15="","",IF(AND(U$7&gt;=$C15,U$7&lt;=$D15),IF(U$7&lt;=SemanaActual,"X","o"),""))</f>
        <v/>
      </c>
      <c r="V15" s="32" t="str">
        <f>IF($C15="","",IF(AND(V$7&gt;=$C15,V$7&lt;=$D15),IF(V$7&lt;=SemanaActual,"X","o"),""))</f>
        <v/>
      </c>
      <c r="W15" s="32" t="str">
        <f>IF($C15="","",IF(AND(W$7&gt;=$C15,W$7&lt;=$D15),IF(W$7&lt;=SemanaActual,"X","o"),""))</f>
        <v/>
      </c>
    </row>
    <row r="16" ht="14.25" customHeight="1">
      <c r="A16" s="27" t="s">
        <v>153</v>
      </c>
      <c r="B16" s="28" t="s">
        <v>121</v>
      </c>
      <c r="C16" s="29">
        <v>4.0</v>
      </c>
      <c r="D16" s="29">
        <v>5.0</v>
      </c>
      <c r="E16" s="29">
        <f t="shared" si="1"/>
        <v>2</v>
      </c>
      <c r="F16" s="30" t="str">
        <f>IF(SUMIFS(Backlog!$D$6:$D$36,Backlog!$H$6:$H$36,$A16)=0,"Sin historias",IF(SUMIFS(Backlog!$D$6:$D$36,Backlog!$H$6:$H$36,$A16,Backlog!$G$6:$G$36,"Fuera del compromiso")=SUMIFS(Backlog!$D$6:$D$36,Backlog!$H$6:$H$36,$A16),"Fuera del compromiso",IF(G16&gt;=1,"Completada",IF(G16&lt;=0,"Pendiente","En curso"))))</f>
        <v>Completada</v>
      </c>
      <c r="G16" s="31">
        <f>IFERROR((SUMIFS(Backlog!$D$6:$D$36,Backlog!$H$6:$H$36,$A16,Backlog!$G$6:$G$36,"Terminada")+SUMIFS(Backlog!$D$6:$D$36,Backlog!$H$6:$H$36,$A16,Backlog!$G$6:$G$36,"En curso")*0.5)/SUMIFS(Backlog!$D$6:$D$36,Backlog!$H$6:$H$36,$A16),0)</f>
        <v>1</v>
      </c>
      <c r="H16" s="32" t="str">
        <f>IF($C16="","",IF(AND(H$7&gt;=$C16,H$7&lt;=$D16),IF(H$7&lt;=SemanaActual,"X","o"),""))</f>
        <v/>
      </c>
      <c r="I16" s="32" t="str">
        <f>IF($C16="","",IF(AND(I$7&gt;=$C16,I$7&lt;=$D16),IF(I$7&lt;=SemanaActual,"X","o"),""))</f>
        <v/>
      </c>
      <c r="J16" s="32" t="str">
        <f>IF($C16="","",IF(AND(J$7&gt;=$C16,J$7&lt;=$D16),IF(J$7&lt;=SemanaActual,"X","o"),""))</f>
        <v/>
      </c>
      <c r="K16" s="32" t="str">
        <f>IF($C16="","",IF(AND(K$7&gt;=$C16,K$7&lt;=$D16),IF(K$7&lt;=SemanaActual,"X","o"),""))</f>
        <v>X</v>
      </c>
      <c r="L16" s="32" t="str">
        <f>IF($C16="","",IF(AND(L$7&gt;=$C16,L$7&lt;=$D16),IF(L$7&lt;=SemanaActual,"X","o"),""))</f>
        <v>o</v>
      </c>
      <c r="M16" s="32" t="str">
        <f>IF($C16="","",IF(AND(M$7&gt;=$C16,M$7&lt;=$D16),IF(M$7&lt;=SemanaActual,"X","o"),""))</f>
        <v/>
      </c>
      <c r="N16" s="32" t="str">
        <f>IF($C16="","",IF(AND(N$7&gt;=$C16,N$7&lt;=$D16),IF(N$7&lt;=SemanaActual,"X","o"),""))</f>
        <v/>
      </c>
      <c r="O16" s="32" t="str">
        <f>IF($C16="","",IF(AND(O$7&gt;=$C16,O$7&lt;=$D16),IF(O$7&lt;=SemanaActual,"X","o"),""))</f>
        <v/>
      </c>
      <c r="P16" s="32" t="str">
        <f>IF($C16="","",IF(AND(P$7&gt;=$C16,P$7&lt;=$D16),IF(P$7&lt;=SemanaActual,"X","o"),""))</f>
        <v/>
      </c>
      <c r="Q16" s="32" t="str">
        <f>IF($C16="","",IF(AND(Q$7&gt;=$C16,Q$7&lt;=$D16),IF(Q$7&lt;=SemanaActual,"X","o"),""))</f>
        <v/>
      </c>
      <c r="R16" s="32" t="str">
        <f>IF($C16="","",IF(AND(R$7&gt;=$C16,R$7&lt;=$D16),IF(R$7&lt;=SemanaActual,"X","o"),""))</f>
        <v/>
      </c>
      <c r="S16" s="32" t="str">
        <f>IF($C16="","",IF(AND(S$7&gt;=$C16,S$7&lt;=$D16),IF(S$7&lt;=SemanaActual,"X","o"),""))</f>
        <v/>
      </c>
      <c r="T16" s="32" t="str">
        <f>IF($C16="","",IF(AND(T$7&gt;=$C16,T$7&lt;=$D16),IF(T$7&lt;=SemanaActual,"X","o"),""))</f>
        <v/>
      </c>
      <c r="U16" s="32" t="str">
        <f>IF($C16="","",IF(AND(U$7&gt;=$C16,U$7&lt;=$D16),IF(U$7&lt;=SemanaActual,"X","o"),""))</f>
        <v/>
      </c>
      <c r="V16" s="32" t="str">
        <f>IF($C16="","",IF(AND(V$7&gt;=$C16,V$7&lt;=$D16),IF(V$7&lt;=SemanaActual,"X","o"),""))</f>
        <v/>
      </c>
      <c r="W16" s="32" t="str">
        <f>IF($C16="","",IF(AND(W$7&gt;=$C16,W$7&lt;=$D16),IF(W$7&lt;=SemanaActual,"X","o"),""))</f>
        <v/>
      </c>
    </row>
    <row r="17" ht="14.25" customHeight="1">
      <c r="A17" s="27" t="s">
        <v>116</v>
      </c>
      <c r="B17" s="28" t="s">
        <v>40</v>
      </c>
      <c r="C17" s="29">
        <v>5.0</v>
      </c>
      <c r="D17" s="29">
        <v>5.0</v>
      </c>
      <c r="E17" s="29">
        <f t="shared" si="1"/>
        <v>1</v>
      </c>
      <c r="F17" s="30" t="str">
        <f>IF(SUMIFS(Backlog!$D$6:$D$36,Backlog!$H$6:$H$36,$A17)=0,"Sin historias",IF(SUMIFS(Backlog!$D$6:$D$36,Backlog!$H$6:$H$36,$A17,Backlog!$G$6:$G$36,"Fuera del compromiso")=SUMIFS(Backlog!$D$6:$D$36,Backlog!$H$6:$H$36,$A17),"Fuera del compromiso",IF(G17&gt;=1,"Completada",IF(G17&lt;=0,"Pendiente","En curso"))))</f>
        <v>Completada</v>
      </c>
      <c r="G17" s="31">
        <f>IFERROR((SUMIFS(Backlog!$D$6:$D$36,Backlog!$H$6:$H$36,$A17,Backlog!$G$6:$G$36,"Terminada")+SUMIFS(Backlog!$D$6:$D$36,Backlog!$H$6:$H$36,$A17,Backlog!$G$6:$G$36,"En curso")*0.5)/SUMIFS(Backlog!$D$6:$D$36,Backlog!$H$6:$H$36,$A17),0)</f>
        <v>1</v>
      </c>
      <c r="H17" s="32" t="str">
        <f>IF($C17="","",IF(AND(H$7&gt;=$C17,H$7&lt;=$D17),IF(H$7&lt;=SemanaActual,"X","o"),""))</f>
        <v/>
      </c>
      <c r="I17" s="32" t="str">
        <f>IF($C17="","",IF(AND(I$7&gt;=$C17,I$7&lt;=$D17),IF(I$7&lt;=SemanaActual,"X","o"),""))</f>
        <v/>
      </c>
      <c r="J17" s="32" t="str">
        <f>IF($C17="","",IF(AND(J$7&gt;=$C17,J$7&lt;=$D17),IF(J$7&lt;=SemanaActual,"X","o"),""))</f>
        <v/>
      </c>
      <c r="K17" s="32" t="str">
        <f>IF($C17="","",IF(AND(K$7&gt;=$C17,K$7&lt;=$D17),IF(K$7&lt;=SemanaActual,"X","o"),""))</f>
        <v/>
      </c>
      <c r="L17" s="32" t="str">
        <f>IF($C17="","",IF(AND(L$7&gt;=$C17,L$7&lt;=$D17),IF(L$7&lt;=SemanaActual,"X","o"),""))</f>
        <v>o</v>
      </c>
      <c r="M17" s="32" t="str">
        <f>IF($C17="","",IF(AND(M$7&gt;=$C17,M$7&lt;=$D17),IF(M$7&lt;=SemanaActual,"X","o"),""))</f>
        <v/>
      </c>
      <c r="N17" s="32" t="str">
        <f>IF($C17="","",IF(AND(N$7&gt;=$C17,N$7&lt;=$D17),IF(N$7&lt;=SemanaActual,"X","o"),""))</f>
        <v/>
      </c>
      <c r="O17" s="32" t="str">
        <f>IF($C17="","",IF(AND(O$7&gt;=$C17,O$7&lt;=$D17),IF(O$7&lt;=SemanaActual,"X","o"),""))</f>
        <v/>
      </c>
      <c r="P17" s="32" t="str">
        <f>IF($C17="","",IF(AND(P$7&gt;=$C17,P$7&lt;=$D17),IF(P$7&lt;=SemanaActual,"X","o"),""))</f>
        <v/>
      </c>
      <c r="Q17" s="32" t="str">
        <f>IF($C17="","",IF(AND(Q$7&gt;=$C17,Q$7&lt;=$D17),IF(Q$7&lt;=SemanaActual,"X","o"),""))</f>
        <v/>
      </c>
      <c r="R17" s="32" t="str">
        <f>IF($C17="","",IF(AND(R$7&gt;=$C17,R$7&lt;=$D17),IF(R$7&lt;=SemanaActual,"X","o"),""))</f>
        <v/>
      </c>
      <c r="S17" s="32" t="str">
        <f>IF($C17="","",IF(AND(S$7&gt;=$C17,S$7&lt;=$D17),IF(S$7&lt;=SemanaActual,"X","o"),""))</f>
        <v/>
      </c>
      <c r="T17" s="32" t="str">
        <f>IF($C17="","",IF(AND(T$7&gt;=$C17,T$7&lt;=$D17),IF(T$7&lt;=SemanaActual,"X","o"),""))</f>
        <v/>
      </c>
      <c r="U17" s="32" t="str">
        <f>IF($C17="","",IF(AND(U$7&gt;=$C17,U$7&lt;=$D17),IF(U$7&lt;=SemanaActual,"X","o"),""))</f>
        <v/>
      </c>
      <c r="V17" s="32" t="str">
        <f>IF($C17="","",IF(AND(V$7&gt;=$C17,V$7&lt;=$D17),IF(V$7&lt;=SemanaActual,"X","o"),""))</f>
        <v/>
      </c>
      <c r="W17" s="32" t="str">
        <f>IF($C17="","",IF(AND(W$7&gt;=$C17,W$7&lt;=$D17),IF(W$7&lt;=SemanaActual,"X","o"),""))</f>
        <v/>
      </c>
    </row>
    <row r="18" ht="14.25" customHeight="1">
      <c r="A18" s="27" t="s">
        <v>77</v>
      </c>
      <c r="B18" s="28" t="s">
        <v>58</v>
      </c>
      <c r="C18" s="29">
        <v>6.0</v>
      </c>
      <c r="D18" s="29">
        <v>9.0</v>
      </c>
      <c r="E18" s="29">
        <f t="shared" si="1"/>
        <v>4</v>
      </c>
      <c r="F18" s="30" t="str">
        <f>IF(SUMIFS(Backlog!$D$6:$D$36,Backlog!$H$6:$H$36,$A18)=0,"Sin historias",IF(SUMIFS(Backlog!$D$6:$D$36,Backlog!$H$6:$H$36,$A18,Backlog!$G$6:$G$36,"Fuera del compromiso")=SUMIFS(Backlog!$D$6:$D$36,Backlog!$H$6:$H$36,$A18),"Fuera del compromiso",IF(G18&gt;=1,"Completada",IF(G18&lt;=0,"Pendiente","En curso"))))</f>
        <v>En curso</v>
      </c>
      <c r="G18" s="31">
        <f>IFERROR((SUMIFS(Backlog!$D$6:$D$36,Backlog!$H$6:$H$36,$A18,Backlog!$G$6:$G$36,"Terminada")+SUMIFS(Backlog!$D$6:$D$36,Backlog!$H$6:$H$36,$A18,Backlog!$G$6:$G$36,"En curso")*0.5)/SUMIFS(Backlog!$D$6:$D$36,Backlog!$H$6:$H$36,$A18),0)</f>
        <v>0.5</v>
      </c>
      <c r="H18" s="32" t="str">
        <f>IF($C18="","",IF(AND(H$7&gt;=$C18,H$7&lt;=$D18),IF(H$7&lt;=SemanaActual,"X","o"),""))</f>
        <v/>
      </c>
      <c r="I18" s="32" t="str">
        <f>IF($C18="","",IF(AND(I$7&gt;=$C18,I$7&lt;=$D18),IF(I$7&lt;=SemanaActual,"X","o"),""))</f>
        <v/>
      </c>
      <c r="J18" s="32" t="str">
        <f>IF($C18="","",IF(AND(J$7&gt;=$C18,J$7&lt;=$D18),IF(J$7&lt;=SemanaActual,"X","o"),""))</f>
        <v/>
      </c>
      <c r="K18" s="32" t="str">
        <f>IF($C18="","",IF(AND(K$7&gt;=$C18,K$7&lt;=$D18),IF(K$7&lt;=SemanaActual,"X","o"),""))</f>
        <v/>
      </c>
      <c r="L18" s="32" t="str">
        <f>IF($C18="","",IF(AND(L$7&gt;=$C18,L$7&lt;=$D18),IF(L$7&lt;=SemanaActual,"X","o"),""))</f>
        <v/>
      </c>
      <c r="M18" s="32" t="str">
        <f>IF($C18="","",IF(AND(M$7&gt;=$C18,M$7&lt;=$D18),IF(M$7&lt;=SemanaActual,"X","o"),""))</f>
        <v>o</v>
      </c>
      <c r="N18" s="32" t="str">
        <f>IF($C18="","",IF(AND(N$7&gt;=$C18,N$7&lt;=$D18),IF(N$7&lt;=SemanaActual,"X","o"),""))</f>
        <v>o</v>
      </c>
      <c r="O18" s="32" t="str">
        <f>IF($C18="","",IF(AND(O$7&gt;=$C18,O$7&lt;=$D18),IF(O$7&lt;=SemanaActual,"X","o"),""))</f>
        <v>o</v>
      </c>
      <c r="P18" s="32" t="str">
        <f>IF($C18="","",IF(AND(P$7&gt;=$C18,P$7&lt;=$D18),IF(P$7&lt;=SemanaActual,"X","o"),""))</f>
        <v>o</v>
      </c>
      <c r="Q18" s="32" t="str">
        <f>IF($C18="","",IF(AND(Q$7&gt;=$C18,Q$7&lt;=$D18),IF(Q$7&lt;=SemanaActual,"X","o"),""))</f>
        <v/>
      </c>
      <c r="R18" s="32" t="str">
        <f>IF($C18="","",IF(AND(R$7&gt;=$C18,R$7&lt;=$D18),IF(R$7&lt;=SemanaActual,"X","o"),""))</f>
        <v/>
      </c>
      <c r="S18" s="32" t="str">
        <f>IF($C18="","",IF(AND(S$7&gt;=$C18,S$7&lt;=$D18),IF(S$7&lt;=SemanaActual,"X","o"),""))</f>
        <v/>
      </c>
      <c r="T18" s="32" t="str">
        <f>IF($C18="","",IF(AND(T$7&gt;=$C18,T$7&lt;=$D18),IF(T$7&lt;=SemanaActual,"X","o"),""))</f>
        <v/>
      </c>
      <c r="U18" s="32" t="str">
        <f>IF($C18="","",IF(AND(U$7&gt;=$C18,U$7&lt;=$D18),IF(U$7&lt;=SemanaActual,"X","o"),""))</f>
        <v/>
      </c>
      <c r="V18" s="32" t="str">
        <f>IF($C18="","",IF(AND(V$7&gt;=$C18,V$7&lt;=$D18),IF(V$7&lt;=SemanaActual,"X","o"),""))</f>
        <v/>
      </c>
      <c r="W18" s="32" t="str">
        <f>IF($C18="","",IF(AND(W$7&gt;=$C18,W$7&lt;=$D18),IF(W$7&lt;=SemanaActual,"X","o"),""))</f>
        <v/>
      </c>
    </row>
    <row r="19" ht="14.25" customHeight="1">
      <c r="A19" s="27" t="s">
        <v>72</v>
      </c>
      <c r="B19" s="28" t="s">
        <v>58</v>
      </c>
      <c r="C19" s="29">
        <v>7.0</v>
      </c>
      <c r="D19" s="29">
        <v>8.0</v>
      </c>
      <c r="E19" s="29">
        <f t="shared" si="1"/>
        <v>2</v>
      </c>
      <c r="F19" s="30" t="str">
        <f>IF(SUMIFS(Backlog!$D$6:$D$36,Backlog!$H$6:$H$36,$A19)=0,"Sin historias",IF(SUMIFS(Backlog!$D$6:$D$36,Backlog!$H$6:$H$36,$A19,Backlog!$G$6:$G$36,"Fuera del compromiso")=SUMIFS(Backlog!$D$6:$D$36,Backlog!$H$6:$H$36,$A19),"Fuera del compromiso",IF(G19&gt;=1,"Completada",IF(G19&lt;=0,"Pendiente","En curso"))))</f>
        <v>Pendiente</v>
      </c>
      <c r="G19" s="31">
        <f>IFERROR((SUMIFS(Backlog!$D$6:$D$36,Backlog!$H$6:$H$36,$A19,Backlog!$G$6:$G$36,"Terminada")+SUMIFS(Backlog!$D$6:$D$36,Backlog!$H$6:$H$36,$A19,Backlog!$G$6:$G$36,"En curso")*0.5)/SUMIFS(Backlog!$D$6:$D$36,Backlog!$H$6:$H$36,$A19),0)</f>
        <v>0</v>
      </c>
      <c r="H19" s="32" t="str">
        <f>IF($C19="","",IF(AND(H$7&gt;=$C19,H$7&lt;=$D19),IF(H$7&lt;=SemanaActual,"X","o"),""))</f>
        <v/>
      </c>
      <c r="I19" s="32" t="str">
        <f>IF($C19="","",IF(AND(I$7&gt;=$C19,I$7&lt;=$D19),IF(I$7&lt;=SemanaActual,"X","o"),""))</f>
        <v/>
      </c>
      <c r="J19" s="32" t="str">
        <f>IF($C19="","",IF(AND(J$7&gt;=$C19,J$7&lt;=$D19),IF(J$7&lt;=SemanaActual,"X","o"),""))</f>
        <v/>
      </c>
      <c r="K19" s="32" t="str">
        <f>IF($C19="","",IF(AND(K$7&gt;=$C19,K$7&lt;=$D19),IF(K$7&lt;=SemanaActual,"X","o"),""))</f>
        <v/>
      </c>
      <c r="L19" s="32" t="str">
        <f>IF($C19="","",IF(AND(L$7&gt;=$C19,L$7&lt;=$D19),IF(L$7&lt;=SemanaActual,"X","o"),""))</f>
        <v/>
      </c>
      <c r="M19" s="32" t="str">
        <f>IF($C19="","",IF(AND(M$7&gt;=$C19,M$7&lt;=$D19),IF(M$7&lt;=SemanaActual,"X","o"),""))</f>
        <v/>
      </c>
      <c r="N19" s="32" t="str">
        <f>IF($C19="","",IF(AND(N$7&gt;=$C19,N$7&lt;=$D19),IF(N$7&lt;=SemanaActual,"X","o"),""))</f>
        <v>o</v>
      </c>
      <c r="O19" s="32" t="str">
        <f>IF($C19="","",IF(AND(O$7&gt;=$C19,O$7&lt;=$D19),IF(O$7&lt;=SemanaActual,"X","o"),""))</f>
        <v>o</v>
      </c>
      <c r="P19" s="32" t="str">
        <f>IF($C19="","",IF(AND(P$7&gt;=$C19,P$7&lt;=$D19),IF(P$7&lt;=SemanaActual,"X","o"),""))</f>
        <v/>
      </c>
      <c r="Q19" s="32" t="str">
        <f>IF($C19="","",IF(AND(Q$7&gt;=$C19,Q$7&lt;=$D19),IF(Q$7&lt;=SemanaActual,"X","o"),""))</f>
        <v/>
      </c>
      <c r="R19" s="32" t="str">
        <f>IF($C19="","",IF(AND(R$7&gt;=$C19,R$7&lt;=$D19),IF(R$7&lt;=SemanaActual,"X","o"),""))</f>
        <v/>
      </c>
      <c r="S19" s="32" t="str">
        <f>IF($C19="","",IF(AND(S$7&gt;=$C19,S$7&lt;=$D19),IF(S$7&lt;=SemanaActual,"X","o"),""))</f>
        <v/>
      </c>
      <c r="T19" s="32" t="str">
        <f>IF($C19="","",IF(AND(T$7&gt;=$C19,T$7&lt;=$D19),IF(T$7&lt;=SemanaActual,"X","o"),""))</f>
        <v/>
      </c>
      <c r="U19" s="32" t="str">
        <f>IF($C19="","",IF(AND(U$7&gt;=$C19,U$7&lt;=$D19),IF(U$7&lt;=SemanaActual,"X","o"),""))</f>
        <v/>
      </c>
      <c r="V19" s="32" t="str">
        <f>IF($C19="","",IF(AND(V$7&gt;=$C19,V$7&lt;=$D19),IF(V$7&lt;=SemanaActual,"X","o"),""))</f>
        <v/>
      </c>
      <c r="W19" s="32" t="str">
        <f>IF($C19="","",IF(AND(W$7&gt;=$C19,W$7&lt;=$D19),IF(W$7&lt;=SemanaActual,"X","o"),""))</f>
        <v/>
      </c>
    </row>
    <row r="20" ht="14.25" customHeight="1">
      <c r="A20" s="56" t="s">
        <v>290</v>
      </c>
      <c r="B20" s="28" t="s">
        <v>115</v>
      </c>
      <c r="C20" s="29">
        <v>8.0</v>
      </c>
      <c r="D20" s="29">
        <v>11.0</v>
      </c>
      <c r="E20" s="29">
        <f t="shared" si="1"/>
        <v>4</v>
      </c>
      <c r="F20" s="30" t="str">
        <f>IF(SUMIFS(Backlog!$D$6:$D$36,Backlog!$H$6:$H$36,$A20)=0,"Sin historias",IF(SUMIFS(Backlog!$D$6:$D$36,Backlog!$H$6:$H$36,$A20,Backlog!$G$6:$G$36,"Fuera del compromiso")=SUMIFS(Backlog!$D$6:$D$36,Backlog!$H$6:$H$36,$A20),"Fuera del compromiso",IF(G20&gt;=1,"Completada",IF(G20&lt;=0,"Pendiente","En curso"))))</f>
        <v>Sin historias</v>
      </c>
      <c r="G20" s="31">
        <f>IFERROR((SUMIFS(Backlog!$D$6:$D$36,Backlog!$H$6:$H$36,$A20,Backlog!$G$6:$G$36,"Terminada")+SUMIFS(Backlog!$D$6:$D$36,Backlog!$H$6:$H$36,$A20,Backlog!$G$6:$G$36,"En curso")*0.5)/SUMIFS(Backlog!$D$6:$D$36,Backlog!$H$6:$H$36,$A20),0)</f>
        <v>0</v>
      </c>
      <c r="H20" s="32" t="str">
        <f>IF($C20="","",IF(AND(H$7&gt;=$C20,H$7&lt;=$D20),IF(H$7&lt;=SemanaActual,"X","o"),""))</f>
        <v/>
      </c>
      <c r="I20" s="32" t="str">
        <f>IF($C20="","",IF(AND(I$7&gt;=$C20,I$7&lt;=$D20),IF(I$7&lt;=SemanaActual,"X","o"),""))</f>
        <v/>
      </c>
      <c r="J20" s="32" t="str">
        <f>IF($C20="","",IF(AND(J$7&gt;=$C20,J$7&lt;=$D20),IF(J$7&lt;=SemanaActual,"X","o"),""))</f>
        <v/>
      </c>
      <c r="K20" s="32" t="str">
        <f>IF($C20="","",IF(AND(K$7&gt;=$C20,K$7&lt;=$D20),IF(K$7&lt;=SemanaActual,"X","o"),""))</f>
        <v/>
      </c>
      <c r="L20" s="32" t="str">
        <f>IF($C20="","",IF(AND(L$7&gt;=$C20,L$7&lt;=$D20),IF(L$7&lt;=SemanaActual,"X","o"),""))</f>
        <v/>
      </c>
      <c r="M20" s="32" t="str">
        <f>IF($C20="","",IF(AND(M$7&gt;=$C20,M$7&lt;=$D20),IF(M$7&lt;=SemanaActual,"X","o"),""))</f>
        <v/>
      </c>
      <c r="N20" s="32" t="str">
        <f>IF($C20="","",IF(AND(N$7&gt;=$C20,N$7&lt;=$D20),IF(N$7&lt;=SemanaActual,"X","o"),""))</f>
        <v/>
      </c>
      <c r="O20" s="32" t="str">
        <f>IF($C20="","",IF(AND(O$7&gt;=$C20,O$7&lt;=$D20),IF(O$7&lt;=SemanaActual,"X","o"),""))</f>
        <v>o</v>
      </c>
      <c r="P20" s="32" t="str">
        <f>IF($C20="","",IF(AND(P$7&gt;=$C20,P$7&lt;=$D20),IF(P$7&lt;=SemanaActual,"X","o"),""))</f>
        <v>o</v>
      </c>
      <c r="Q20" s="32" t="str">
        <f>IF($C20="","",IF(AND(Q$7&gt;=$C20,Q$7&lt;=$D20),IF(Q$7&lt;=SemanaActual,"X","o"),""))</f>
        <v>o</v>
      </c>
      <c r="R20" s="32" t="str">
        <f>IF($C20="","",IF(AND(R$7&gt;=$C20,R$7&lt;=$D20),IF(R$7&lt;=SemanaActual,"X","o"),""))</f>
        <v>o</v>
      </c>
      <c r="S20" s="32" t="str">
        <f>IF($C20="","",IF(AND(S$7&gt;=$C20,S$7&lt;=$D20),IF(S$7&lt;=SemanaActual,"X","o"),""))</f>
        <v/>
      </c>
      <c r="T20" s="32" t="str">
        <f>IF($C20="","",IF(AND(T$7&gt;=$C20,T$7&lt;=$D20),IF(T$7&lt;=SemanaActual,"X","o"),""))</f>
        <v/>
      </c>
      <c r="U20" s="32" t="str">
        <f>IF($C20="","",IF(AND(U$7&gt;=$C20,U$7&lt;=$D20),IF(U$7&lt;=SemanaActual,"X","o"),""))</f>
        <v/>
      </c>
      <c r="V20" s="32" t="str">
        <f>IF($C20="","",IF(AND(V$7&gt;=$C20,V$7&lt;=$D20),IF(V$7&lt;=SemanaActual,"X","o"),""))</f>
        <v/>
      </c>
      <c r="W20" s="32" t="str">
        <f>IF($C20="","",IF(AND(W$7&gt;=$C20,W$7&lt;=$D20),IF(W$7&lt;=SemanaActual,"X","o"),""))</f>
        <v/>
      </c>
    </row>
    <row r="21" ht="14.25" customHeight="1">
      <c r="A21" s="27" t="s">
        <v>167</v>
      </c>
      <c r="B21" s="28" t="s">
        <v>121</v>
      </c>
      <c r="C21" s="29">
        <v>10.0</v>
      </c>
      <c r="D21" s="29">
        <v>12.0</v>
      </c>
      <c r="E21" s="29">
        <f t="shared" si="1"/>
        <v>3</v>
      </c>
      <c r="F21" s="30" t="str">
        <f>IF(SUMIFS(Backlog!$D$6:$D$36,Backlog!$H$6:$H$36,$A21)=0,"Sin historias",IF(SUMIFS(Backlog!$D$6:$D$36,Backlog!$H$6:$H$36,$A21,Backlog!$G$6:$G$36,"Fuera del compromiso")=SUMIFS(Backlog!$D$6:$D$36,Backlog!$H$6:$H$36,$A21),"Fuera del compromiso",IF(G21&gt;=1,"Completada",IF(G21&lt;=0,"Pendiente","En curso"))))</f>
        <v>Pendiente</v>
      </c>
      <c r="G21" s="31">
        <f>IFERROR((SUMIFS(Backlog!$D$6:$D$36,Backlog!$H$6:$H$36,$A21,Backlog!$G$6:$G$36,"Terminada")+SUMIFS(Backlog!$D$6:$D$36,Backlog!$H$6:$H$36,$A21,Backlog!$G$6:$G$36,"En curso")*0.5)/SUMIFS(Backlog!$D$6:$D$36,Backlog!$H$6:$H$36,$A21),0)</f>
        <v>0</v>
      </c>
      <c r="H21" s="32" t="str">
        <f>IF($C21="","",IF(AND(H$7&gt;=$C21,H$7&lt;=$D21),IF(H$7&lt;=SemanaActual,"X","o"),""))</f>
        <v/>
      </c>
      <c r="I21" s="32" t="str">
        <f>IF($C21="","",IF(AND(I$7&gt;=$C21,I$7&lt;=$D21),IF(I$7&lt;=SemanaActual,"X","o"),""))</f>
        <v/>
      </c>
      <c r="J21" s="32" t="str">
        <f>IF($C21="","",IF(AND(J$7&gt;=$C21,J$7&lt;=$D21),IF(J$7&lt;=SemanaActual,"X","o"),""))</f>
        <v/>
      </c>
      <c r="K21" s="32" t="str">
        <f>IF($C21="","",IF(AND(K$7&gt;=$C21,K$7&lt;=$D21),IF(K$7&lt;=SemanaActual,"X","o"),""))</f>
        <v/>
      </c>
      <c r="L21" s="32" t="str">
        <f>IF($C21="","",IF(AND(L$7&gt;=$C21,L$7&lt;=$D21),IF(L$7&lt;=SemanaActual,"X","o"),""))</f>
        <v/>
      </c>
      <c r="M21" s="32" t="str">
        <f>IF($C21="","",IF(AND(M$7&gt;=$C21,M$7&lt;=$D21),IF(M$7&lt;=SemanaActual,"X","o"),""))</f>
        <v/>
      </c>
      <c r="N21" s="32" t="str">
        <f>IF($C21="","",IF(AND(N$7&gt;=$C21,N$7&lt;=$D21),IF(N$7&lt;=SemanaActual,"X","o"),""))</f>
        <v/>
      </c>
      <c r="O21" s="32" t="str">
        <f>IF($C21="","",IF(AND(O$7&gt;=$C21,O$7&lt;=$D21),IF(O$7&lt;=SemanaActual,"X","o"),""))</f>
        <v/>
      </c>
      <c r="P21" s="32" t="str">
        <f>IF($C21="","",IF(AND(P$7&gt;=$C21,P$7&lt;=$D21),IF(P$7&lt;=SemanaActual,"X","o"),""))</f>
        <v/>
      </c>
      <c r="Q21" s="32" t="str">
        <f>IF($C21="","",IF(AND(Q$7&gt;=$C21,Q$7&lt;=$D21),IF(Q$7&lt;=SemanaActual,"X","o"),""))</f>
        <v>o</v>
      </c>
      <c r="R21" s="32" t="str">
        <f>IF($C21="","",IF(AND(R$7&gt;=$C21,R$7&lt;=$D21),IF(R$7&lt;=SemanaActual,"X","o"),""))</f>
        <v>o</v>
      </c>
      <c r="S21" s="32" t="str">
        <f>IF($C21="","",IF(AND(S$7&gt;=$C21,S$7&lt;=$D21),IF(S$7&lt;=SemanaActual,"X","o"),""))</f>
        <v>o</v>
      </c>
      <c r="T21" s="32" t="str">
        <f>IF($C21="","",IF(AND(T$7&gt;=$C21,T$7&lt;=$D21),IF(T$7&lt;=SemanaActual,"X","o"),""))</f>
        <v/>
      </c>
      <c r="U21" s="32" t="str">
        <f>IF($C21="","",IF(AND(U$7&gt;=$C21,U$7&lt;=$D21),IF(U$7&lt;=SemanaActual,"X","o"),""))</f>
        <v/>
      </c>
      <c r="V21" s="32" t="str">
        <f>IF($C21="","",IF(AND(V$7&gt;=$C21,V$7&lt;=$D21),IF(V$7&lt;=SemanaActual,"X","o"),""))</f>
        <v/>
      </c>
      <c r="W21" s="32" t="str">
        <f>IF($C21="","",IF(AND(W$7&gt;=$C21,W$7&lt;=$D21),IF(W$7&lt;=SemanaActual,"X","o"),""))</f>
        <v/>
      </c>
    </row>
    <row r="22" ht="14.25" customHeight="1">
      <c r="A22" s="56" t="s">
        <v>291</v>
      </c>
      <c r="B22" s="28" t="s">
        <v>115</v>
      </c>
      <c r="C22" s="29">
        <v>11.0</v>
      </c>
      <c r="D22" s="29">
        <v>13.0</v>
      </c>
      <c r="E22" s="29">
        <f t="shared" si="1"/>
        <v>3</v>
      </c>
      <c r="F22" s="30" t="str">
        <f>IF(SUMIFS(Backlog!$D$6:$D$36,Backlog!$H$6:$H$36,$A22)=0,"Sin historias",IF(SUMIFS(Backlog!$D$6:$D$36,Backlog!$H$6:$H$36,$A22,Backlog!$G$6:$G$36,"Fuera del compromiso")=SUMIFS(Backlog!$D$6:$D$36,Backlog!$H$6:$H$36,$A22),"Fuera del compromiso",IF(G22&gt;=1,"Completada",IF(G22&lt;=0,"Pendiente","En curso"))))</f>
        <v>Sin historias</v>
      </c>
      <c r="G22" s="31">
        <f>IFERROR((SUMIFS(Backlog!$D$6:$D$36,Backlog!$H$6:$H$36,$A22,Backlog!$G$6:$G$36,"Terminada")+SUMIFS(Backlog!$D$6:$D$36,Backlog!$H$6:$H$36,$A22,Backlog!$G$6:$G$36,"En curso")*0.5)/SUMIFS(Backlog!$D$6:$D$36,Backlog!$H$6:$H$36,$A22),0)</f>
        <v>0</v>
      </c>
      <c r="H22" s="32" t="str">
        <f>IF($C22="","",IF(AND(H$7&gt;=$C22,H$7&lt;=$D22),IF(H$7&lt;=SemanaActual,"X","o"),""))</f>
        <v/>
      </c>
      <c r="I22" s="32" t="str">
        <f>IF($C22="","",IF(AND(I$7&gt;=$C22,I$7&lt;=$D22),IF(I$7&lt;=SemanaActual,"X","o"),""))</f>
        <v/>
      </c>
      <c r="J22" s="32" t="str">
        <f>IF($C22="","",IF(AND(J$7&gt;=$C22,J$7&lt;=$D22),IF(J$7&lt;=SemanaActual,"X","o"),""))</f>
        <v/>
      </c>
      <c r="K22" s="32" t="str">
        <f>IF($C22="","",IF(AND(K$7&gt;=$C22,K$7&lt;=$D22),IF(K$7&lt;=SemanaActual,"X","o"),""))</f>
        <v/>
      </c>
      <c r="L22" s="32" t="str">
        <f>IF($C22="","",IF(AND(L$7&gt;=$C22,L$7&lt;=$D22),IF(L$7&lt;=SemanaActual,"X","o"),""))</f>
        <v/>
      </c>
      <c r="M22" s="32" t="str">
        <f>IF($C22="","",IF(AND(M$7&gt;=$C22,M$7&lt;=$D22),IF(M$7&lt;=SemanaActual,"X","o"),""))</f>
        <v/>
      </c>
      <c r="N22" s="32" t="str">
        <f>IF($C22="","",IF(AND(N$7&gt;=$C22,N$7&lt;=$D22),IF(N$7&lt;=SemanaActual,"X","o"),""))</f>
        <v/>
      </c>
      <c r="O22" s="32" t="str">
        <f>IF($C22="","",IF(AND(O$7&gt;=$C22,O$7&lt;=$D22),IF(O$7&lt;=SemanaActual,"X","o"),""))</f>
        <v/>
      </c>
      <c r="P22" s="32" t="str">
        <f>IF($C22="","",IF(AND(P$7&gt;=$C22,P$7&lt;=$D22),IF(P$7&lt;=SemanaActual,"X","o"),""))</f>
        <v/>
      </c>
      <c r="Q22" s="32" t="str">
        <f>IF($C22="","",IF(AND(Q$7&gt;=$C22,Q$7&lt;=$D22),IF(Q$7&lt;=SemanaActual,"X","o"),""))</f>
        <v/>
      </c>
      <c r="R22" s="32" t="str">
        <f>IF($C22="","",IF(AND(R$7&gt;=$C22,R$7&lt;=$D22),IF(R$7&lt;=SemanaActual,"X","o"),""))</f>
        <v>o</v>
      </c>
      <c r="S22" s="32" t="str">
        <f>IF($C22="","",IF(AND(S$7&gt;=$C22,S$7&lt;=$D22),IF(S$7&lt;=SemanaActual,"X","o"),""))</f>
        <v>o</v>
      </c>
      <c r="T22" s="32" t="str">
        <f>IF($C22="","",IF(AND(T$7&gt;=$C22,T$7&lt;=$D22),IF(T$7&lt;=SemanaActual,"X","o"),""))</f>
        <v>o</v>
      </c>
      <c r="U22" s="32" t="str">
        <f>IF($C22="","",IF(AND(U$7&gt;=$C22,U$7&lt;=$D22),IF(U$7&lt;=SemanaActual,"X","o"),""))</f>
        <v/>
      </c>
      <c r="V22" s="32" t="str">
        <f>IF($C22="","",IF(AND(V$7&gt;=$C22,V$7&lt;=$D22),IF(V$7&lt;=SemanaActual,"X","o"),""))</f>
        <v/>
      </c>
      <c r="W22" s="32" t="str">
        <f>IF($C22="","",IF(AND(W$7&gt;=$C22,W$7&lt;=$D22),IF(W$7&lt;=SemanaActual,"X","o"),""))</f>
        <v/>
      </c>
    </row>
    <row r="23" ht="14.25" customHeight="1">
      <c r="A23" s="27" t="s">
        <v>191</v>
      </c>
      <c r="B23" s="28" t="s">
        <v>58</v>
      </c>
      <c r="C23" s="29">
        <v>12.0</v>
      </c>
      <c r="D23" s="29">
        <v>14.0</v>
      </c>
      <c r="E23" s="29">
        <f t="shared" si="1"/>
        <v>3</v>
      </c>
      <c r="F23" s="30" t="str">
        <f>IF(SUMIFS(Backlog!$D$6:$D$36,Backlog!$H$6:$H$36,$A23)=0,"Sin historias",IF(SUMIFS(Backlog!$D$6:$D$36,Backlog!$H$6:$H$36,$A23,Backlog!$G$6:$G$36,"Fuera del compromiso")=SUMIFS(Backlog!$D$6:$D$36,Backlog!$H$6:$H$36,$A23),"Fuera del compromiso",IF(G23&gt;=1,"Completada",IF(G23&lt;=0,"Pendiente","En curso"))))</f>
        <v>Pendiente</v>
      </c>
      <c r="G23" s="31">
        <f>IFERROR((SUMIFS(Backlog!$D$6:$D$36,Backlog!$H$6:$H$36,$A23,Backlog!$G$6:$G$36,"Terminada")+SUMIFS(Backlog!$D$6:$D$36,Backlog!$H$6:$H$36,$A23,Backlog!$G$6:$G$36,"En curso")*0.5)/SUMIFS(Backlog!$D$6:$D$36,Backlog!$H$6:$H$36,$A23),0)</f>
        <v>0</v>
      </c>
      <c r="H23" s="32" t="str">
        <f>IF($C23="","",IF(AND(H$7&gt;=$C23,H$7&lt;=$D23),IF(H$7&lt;=SemanaActual,"X","o"),""))</f>
        <v/>
      </c>
      <c r="I23" s="32" t="str">
        <f>IF($C23="","",IF(AND(I$7&gt;=$C23,I$7&lt;=$D23),IF(I$7&lt;=SemanaActual,"X","o"),""))</f>
        <v/>
      </c>
      <c r="J23" s="32" t="str">
        <f>IF($C23="","",IF(AND(J$7&gt;=$C23,J$7&lt;=$D23),IF(J$7&lt;=SemanaActual,"X","o"),""))</f>
        <v/>
      </c>
      <c r="K23" s="32" t="str">
        <f>IF($C23="","",IF(AND(K$7&gt;=$C23,K$7&lt;=$D23),IF(K$7&lt;=SemanaActual,"X","o"),""))</f>
        <v/>
      </c>
      <c r="L23" s="32" t="str">
        <f>IF($C23="","",IF(AND(L$7&gt;=$C23,L$7&lt;=$D23),IF(L$7&lt;=SemanaActual,"X","o"),""))</f>
        <v/>
      </c>
      <c r="M23" s="32" t="str">
        <f>IF($C23="","",IF(AND(M$7&gt;=$C23,M$7&lt;=$D23),IF(M$7&lt;=SemanaActual,"X","o"),""))</f>
        <v/>
      </c>
      <c r="N23" s="32" t="str">
        <f>IF($C23="","",IF(AND(N$7&gt;=$C23,N$7&lt;=$D23),IF(N$7&lt;=SemanaActual,"X","o"),""))</f>
        <v/>
      </c>
      <c r="O23" s="32" t="str">
        <f>IF($C23="","",IF(AND(O$7&gt;=$C23,O$7&lt;=$D23),IF(O$7&lt;=SemanaActual,"X","o"),""))</f>
        <v/>
      </c>
      <c r="P23" s="32" t="str">
        <f>IF($C23="","",IF(AND(P$7&gt;=$C23,P$7&lt;=$D23),IF(P$7&lt;=SemanaActual,"X","o"),""))</f>
        <v/>
      </c>
      <c r="Q23" s="32" t="str">
        <f>IF($C23="","",IF(AND(Q$7&gt;=$C23,Q$7&lt;=$D23),IF(Q$7&lt;=SemanaActual,"X","o"),""))</f>
        <v/>
      </c>
      <c r="R23" s="32" t="str">
        <f>IF($C23="","",IF(AND(R$7&gt;=$C23,R$7&lt;=$D23),IF(R$7&lt;=SemanaActual,"X","o"),""))</f>
        <v/>
      </c>
      <c r="S23" s="32" t="str">
        <f>IF($C23="","",IF(AND(S$7&gt;=$C23,S$7&lt;=$D23),IF(S$7&lt;=SemanaActual,"X","o"),""))</f>
        <v>o</v>
      </c>
      <c r="T23" s="32" t="str">
        <f>IF($C23="","",IF(AND(T$7&gt;=$C23,T$7&lt;=$D23),IF(T$7&lt;=SemanaActual,"X","o"),""))</f>
        <v>o</v>
      </c>
      <c r="U23" s="32" t="str">
        <f>IF($C23="","",IF(AND(U$7&gt;=$C23,U$7&lt;=$D23),IF(U$7&lt;=SemanaActual,"X","o"),""))</f>
        <v>o</v>
      </c>
      <c r="V23" s="32" t="str">
        <f>IF($C23="","",IF(AND(V$7&gt;=$C23,V$7&lt;=$D23),IF(V$7&lt;=SemanaActual,"X","o"),""))</f>
        <v/>
      </c>
      <c r="W23" s="32" t="str">
        <f>IF($C23="","",IF(AND(W$7&gt;=$C23,W$7&lt;=$D23),IF(W$7&lt;=SemanaActual,"X","o"),""))</f>
        <v/>
      </c>
    </row>
    <row r="24" ht="14.25" customHeight="1">
      <c r="A24" s="27" t="s">
        <v>207</v>
      </c>
      <c r="B24" s="28" t="s">
        <v>115</v>
      </c>
      <c r="C24" s="29">
        <v>12.0</v>
      </c>
      <c r="D24" s="29">
        <v>15.0</v>
      </c>
      <c r="E24" s="29">
        <f t="shared" si="1"/>
        <v>4</v>
      </c>
      <c r="F24" s="30" t="str">
        <f>IF(SUMIFS(Backlog!$D$6:$D$36,Backlog!$H$6:$H$36,$A24)=0,"Sin historias",IF(SUMIFS(Backlog!$D$6:$D$36,Backlog!$H$6:$H$36,$A24,Backlog!$G$6:$G$36,"Fuera del compromiso")=SUMIFS(Backlog!$D$6:$D$36,Backlog!$H$6:$H$36,$A24),"Fuera del compromiso",IF(G24&gt;=1,"Completada",IF(G24&lt;=0,"Pendiente","En curso"))))</f>
        <v>Pendiente</v>
      </c>
      <c r="G24" s="31">
        <f>IFERROR((SUMIFS(Backlog!$D$6:$D$36,Backlog!$H$6:$H$36,$A24,Backlog!$G$6:$G$36,"Terminada")+SUMIFS(Backlog!$D$6:$D$36,Backlog!$H$6:$H$36,$A24,Backlog!$G$6:$G$36,"En curso")*0.5)/SUMIFS(Backlog!$D$6:$D$36,Backlog!$H$6:$H$36,$A24),0)</f>
        <v>0</v>
      </c>
      <c r="H24" s="32" t="str">
        <f>IF($C24="","",IF(AND(H$7&gt;=$C24,H$7&lt;=$D24),IF(H$7&lt;=SemanaActual,"X","o"),""))</f>
        <v/>
      </c>
      <c r="I24" s="32" t="str">
        <f>IF($C24="","",IF(AND(I$7&gt;=$C24,I$7&lt;=$D24),IF(I$7&lt;=SemanaActual,"X","o"),""))</f>
        <v/>
      </c>
      <c r="J24" s="32" t="str">
        <f>IF($C24="","",IF(AND(J$7&gt;=$C24,J$7&lt;=$D24),IF(J$7&lt;=SemanaActual,"X","o"),""))</f>
        <v/>
      </c>
      <c r="K24" s="32" t="str">
        <f>IF($C24="","",IF(AND(K$7&gt;=$C24,K$7&lt;=$D24),IF(K$7&lt;=SemanaActual,"X","o"),""))</f>
        <v/>
      </c>
      <c r="L24" s="32" t="str">
        <f>IF($C24="","",IF(AND(L$7&gt;=$C24,L$7&lt;=$D24),IF(L$7&lt;=SemanaActual,"X","o"),""))</f>
        <v/>
      </c>
      <c r="M24" s="32" t="str">
        <f>IF($C24="","",IF(AND(M$7&gt;=$C24,M$7&lt;=$D24),IF(M$7&lt;=SemanaActual,"X","o"),""))</f>
        <v/>
      </c>
      <c r="N24" s="32" t="str">
        <f>IF($C24="","",IF(AND(N$7&gt;=$C24,N$7&lt;=$D24),IF(N$7&lt;=SemanaActual,"X","o"),""))</f>
        <v/>
      </c>
      <c r="O24" s="32" t="str">
        <f>IF($C24="","",IF(AND(O$7&gt;=$C24,O$7&lt;=$D24),IF(O$7&lt;=SemanaActual,"X","o"),""))</f>
        <v/>
      </c>
      <c r="P24" s="32" t="str">
        <f>IF($C24="","",IF(AND(P$7&gt;=$C24,P$7&lt;=$D24),IF(P$7&lt;=SemanaActual,"X","o"),""))</f>
        <v/>
      </c>
      <c r="Q24" s="32" t="str">
        <f>IF($C24="","",IF(AND(Q$7&gt;=$C24,Q$7&lt;=$D24),IF(Q$7&lt;=SemanaActual,"X","o"),""))</f>
        <v/>
      </c>
      <c r="R24" s="32" t="str">
        <f>IF($C24="","",IF(AND(R$7&gt;=$C24,R$7&lt;=$D24),IF(R$7&lt;=SemanaActual,"X","o"),""))</f>
        <v/>
      </c>
      <c r="S24" s="32" t="str">
        <f>IF($C24="","",IF(AND(S$7&gt;=$C24,S$7&lt;=$D24),IF(S$7&lt;=SemanaActual,"X","o"),""))</f>
        <v>o</v>
      </c>
      <c r="T24" s="32" t="str">
        <f>IF($C24="","",IF(AND(T$7&gt;=$C24,T$7&lt;=$D24),IF(T$7&lt;=SemanaActual,"X","o"),""))</f>
        <v>o</v>
      </c>
      <c r="U24" s="32" t="str">
        <f>IF($C24="","",IF(AND(U$7&gt;=$C24,U$7&lt;=$D24),IF(U$7&lt;=SemanaActual,"X","o"),""))</f>
        <v>o</v>
      </c>
      <c r="V24" s="32" t="str">
        <f>IF($C24="","",IF(AND(V$7&gt;=$C24,V$7&lt;=$D24),IF(V$7&lt;=SemanaActual,"X","o"),""))</f>
        <v>o</v>
      </c>
      <c r="W24" s="32" t="str">
        <f>IF($C24="","",IF(AND(W$7&gt;=$C24,W$7&lt;=$D24),IF(W$7&lt;=SemanaActual,"X","o"),""))</f>
        <v/>
      </c>
    </row>
    <row r="25" ht="14.25" customHeight="1">
      <c r="A25" s="27" t="s">
        <v>292</v>
      </c>
      <c r="B25" s="28" t="s">
        <v>115</v>
      </c>
      <c r="C25" s="29">
        <v>1.0</v>
      </c>
      <c r="D25" s="29">
        <v>15.0</v>
      </c>
      <c r="E25" s="29">
        <f t="shared" si="1"/>
        <v>15</v>
      </c>
      <c r="F25" s="30" t="str">
        <f t="shared" ref="F25:F26" si="2">IF(G25&gt;=1,"Completada",IF(G25&lt;=0,"Pendiente","En curso"))</f>
        <v>En curso</v>
      </c>
      <c r="G25" s="31">
        <v>0.85</v>
      </c>
      <c r="H25" s="32" t="str">
        <f>IF($C25="","",IF(AND(H$7&gt;=$C25,H$7&lt;=$D25),IF(H$7&lt;=SemanaActual,"X","o"),""))</f>
        <v>X</v>
      </c>
      <c r="I25" s="32" t="str">
        <f>IF($C25="","",IF(AND(I$7&gt;=$C25,I$7&lt;=$D25),IF(I$7&lt;=SemanaActual,"X","o"),""))</f>
        <v>X</v>
      </c>
      <c r="J25" s="32" t="str">
        <f>IF($C25="","",IF(AND(J$7&gt;=$C25,J$7&lt;=$D25),IF(J$7&lt;=SemanaActual,"X","o"),""))</f>
        <v>X</v>
      </c>
      <c r="K25" s="32" t="str">
        <f>IF($C25="","",IF(AND(K$7&gt;=$C25,K$7&lt;=$D25),IF(K$7&lt;=SemanaActual,"X","o"),""))</f>
        <v>X</v>
      </c>
      <c r="L25" s="32" t="str">
        <f>IF($C25="","",IF(AND(L$7&gt;=$C25,L$7&lt;=$D25),IF(L$7&lt;=SemanaActual,"X","o"),""))</f>
        <v>o</v>
      </c>
      <c r="M25" s="32" t="str">
        <f>IF($C25="","",IF(AND(M$7&gt;=$C25,M$7&lt;=$D25),IF(M$7&lt;=SemanaActual,"X","o"),""))</f>
        <v>o</v>
      </c>
      <c r="N25" s="32" t="str">
        <f>IF($C25="","",IF(AND(N$7&gt;=$C25,N$7&lt;=$D25),IF(N$7&lt;=SemanaActual,"X","o"),""))</f>
        <v>o</v>
      </c>
      <c r="O25" s="32" t="str">
        <f>IF($C25="","",IF(AND(O$7&gt;=$C25,O$7&lt;=$D25),IF(O$7&lt;=SemanaActual,"X","o"),""))</f>
        <v>o</v>
      </c>
      <c r="P25" s="32" t="str">
        <f>IF($C25="","",IF(AND(P$7&gt;=$C25,P$7&lt;=$D25),IF(P$7&lt;=SemanaActual,"X","o"),""))</f>
        <v>o</v>
      </c>
      <c r="Q25" s="32" t="str">
        <f>IF($C25="","",IF(AND(Q$7&gt;=$C25,Q$7&lt;=$D25),IF(Q$7&lt;=SemanaActual,"X","o"),""))</f>
        <v>o</v>
      </c>
      <c r="R25" s="32" t="str">
        <f>IF($C25="","",IF(AND(R$7&gt;=$C25,R$7&lt;=$D25),IF(R$7&lt;=SemanaActual,"X","o"),""))</f>
        <v>o</v>
      </c>
      <c r="S25" s="32" t="str">
        <f>IF($C25="","",IF(AND(S$7&gt;=$C25,S$7&lt;=$D25),IF(S$7&lt;=SemanaActual,"X","o"),""))</f>
        <v>o</v>
      </c>
      <c r="T25" s="32" t="str">
        <f>IF($C25="","",IF(AND(T$7&gt;=$C25,T$7&lt;=$D25),IF(T$7&lt;=SemanaActual,"X","o"),""))</f>
        <v>o</v>
      </c>
      <c r="U25" s="32" t="str">
        <f>IF($C25="","",IF(AND(U$7&gt;=$C25,U$7&lt;=$D25),IF(U$7&lt;=SemanaActual,"X","o"),""))</f>
        <v>o</v>
      </c>
      <c r="V25" s="32" t="str">
        <f>IF($C25="","",IF(AND(V$7&gt;=$C25,V$7&lt;=$D25),IF(V$7&lt;=SemanaActual,"X","o"),""))</f>
        <v>o</v>
      </c>
      <c r="W25" s="32" t="str">
        <f>IF($C25="","",IF(AND(W$7&gt;=$C25,W$7&lt;=$D25),IF(W$7&lt;=SemanaActual,"X","o"),""))</f>
        <v/>
      </c>
    </row>
    <row r="26" ht="14.25" customHeight="1">
      <c r="A26" s="27" t="s">
        <v>293</v>
      </c>
      <c r="B26" s="28" t="s">
        <v>115</v>
      </c>
      <c r="C26" s="29">
        <v>13.0</v>
      </c>
      <c r="D26" s="29">
        <v>16.0</v>
      </c>
      <c r="E26" s="29">
        <f t="shared" si="1"/>
        <v>4</v>
      </c>
      <c r="F26" s="30" t="str">
        <f t="shared" si="2"/>
        <v>Pendiente</v>
      </c>
      <c r="G26" s="31">
        <v>0.0</v>
      </c>
      <c r="H26" s="32" t="str">
        <f>IF($C26="","",IF(AND(H$7&gt;=$C26,H$7&lt;=$D26),IF(H$7&lt;=SemanaActual,"X","o"),""))</f>
        <v/>
      </c>
      <c r="I26" s="32" t="str">
        <f>IF($C26="","",IF(AND(I$7&gt;=$C26,I$7&lt;=$D26),IF(I$7&lt;=SemanaActual,"X","o"),""))</f>
        <v/>
      </c>
      <c r="J26" s="32" t="str">
        <f>IF($C26="","",IF(AND(J$7&gt;=$C26,J$7&lt;=$D26),IF(J$7&lt;=SemanaActual,"X","o"),""))</f>
        <v/>
      </c>
      <c r="K26" s="32" t="str">
        <f>IF($C26="","",IF(AND(K$7&gt;=$C26,K$7&lt;=$D26),IF(K$7&lt;=SemanaActual,"X","o"),""))</f>
        <v/>
      </c>
      <c r="L26" s="32" t="str">
        <f>IF($C26="","",IF(AND(L$7&gt;=$C26,L$7&lt;=$D26),IF(L$7&lt;=SemanaActual,"X","o"),""))</f>
        <v/>
      </c>
      <c r="M26" s="32" t="str">
        <f>IF($C26="","",IF(AND(M$7&gt;=$C26,M$7&lt;=$D26),IF(M$7&lt;=SemanaActual,"X","o"),""))</f>
        <v/>
      </c>
      <c r="N26" s="32" t="str">
        <f>IF($C26="","",IF(AND(N$7&gt;=$C26,N$7&lt;=$D26),IF(N$7&lt;=SemanaActual,"X","o"),""))</f>
        <v/>
      </c>
      <c r="O26" s="32" t="str">
        <f>IF($C26="","",IF(AND(O$7&gt;=$C26,O$7&lt;=$D26),IF(O$7&lt;=SemanaActual,"X","o"),""))</f>
        <v/>
      </c>
      <c r="P26" s="32" t="str">
        <f>IF($C26="","",IF(AND(P$7&gt;=$C26,P$7&lt;=$D26),IF(P$7&lt;=SemanaActual,"X","o"),""))</f>
        <v/>
      </c>
      <c r="Q26" s="32" t="str">
        <f>IF($C26="","",IF(AND(Q$7&gt;=$C26,Q$7&lt;=$D26),IF(Q$7&lt;=SemanaActual,"X","o"),""))</f>
        <v/>
      </c>
      <c r="R26" s="32" t="str">
        <f>IF($C26="","",IF(AND(R$7&gt;=$C26,R$7&lt;=$D26),IF(R$7&lt;=SemanaActual,"X","o"),""))</f>
        <v/>
      </c>
      <c r="S26" s="32" t="str">
        <f>IF($C26="","",IF(AND(S$7&gt;=$C26,S$7&lt;=$D26),IF(S$7&lt;=SemanaActual,"X","o"),""))</f>
        <v/>
      </c>
      <c r="T26" s="32" t="str">
        <f>IF($C26="","",IF(AND(T$7&gt;=$C26,T$7&lt;=$D26),IF(T$7&lt;=SemanaActual,"X","o"),""))</f>
        <v>o</v>
      </c>
      <c r="U26" s="32" t="str">
        <f>IF($C26="","",IF(AND(U$7&gt;=$C26,U$7&lt;=$D26),IF(U$7&lt;=SemanaActual,"X","o"),""))</f>
        <v>o</v>
      </c>
      <c r="V26" s="32" t="str">
        <f>IF($C26="","",IF(AND(V$7&gt;=$C26,V$7&lt;=$D26),IF(V$7&lt;=SemanaActual,"X","o"),""))</f>
        <v>o</v>
      </c>
      <c r="W26" s="32" t="str">
        <f>IF($C26="","",IF(AND(W$7&gt;=$C26,W$7&lt;=$D26),IF(W$7&lt;=SemanaActual,"X","o"),""))</f>
        <v>o</v>
      </c>
    </row>
    <row r="27" ht="14.25" customHeight="1">
      <c r="A27" s="27" t="s">
        <v>179</v>
      </c>
      <c r="B27" s="57" t="s">
        <v>294</v>
      </c>
      <c r="C27" s="29"/>
      <c r="D27" s="29"/>
      <c r="E27" s="29">
        <f t="shared" si="1"/>
        <v>0</v>
      </c>
      <c r="F27" s="30" t="str">
        <f>IF(SUMIFS(Backlog!$D$6:$D$36,Backlog!$H$6:$H$36,$A27)=0,"Sin historias",IF(SUMIFS(Backlog!$D$6:$D$36,Backlog!$H$6:$H$36,$A27,Backlog!$G$6:$G$36,"Fuera del compromiso")=SUMIFS(Backlog!$D$6:$D$36,Backlog!$H$6:$H$36,$A27),"Fuera del compromiso",IF(G27&gt;=1,"Completada",IF(G27&lt;=0,"Pendiente","En curso"))))</f>
        <v>Fuera del compromiso</v>
      </c>
      <c r="G27" s="31">
        <f>IFERROR((SUMIFS(Backlog!$D$6:$D$36,Backlog!$H$6:$H$36,$A27,Backlog!$G$6:$G$36,"Terminada")+SUMIFS(Backlog!$D$6:$D$36,Backlog!$H$6:$H$36,$A27,Backlog!$G$6:$G$36,"En curso")*0.5)/SUMIFS(Backlog!$D$6:$D$36,Backlog!$H$6:$H$36,$A27),0)</f>
        <v>0</v>
      </c>
      <c r="H27" s="32" t="str">
        <f>IF($C27="","",IF(AND(H$7&gt;=$C27,H$7&lt;=$D27),IF(H$7&lt;=SemanaActual,"X","o"),""))</f>
        <v/>
      </c>
      <c r="I27" s="32" t="str">
        <f>IF($C27="","",IF(AND(I$7&gt;=$C27,I$7&lt;=$D27),IF(I$7&lt;=SemanaActual,"X","o"),""))</f>
        <v/>
      </c>
      <c r="J27" s="32" t="str">
        <f>IF($C27="","",IF(AND(J$7&gt;=$C27,J$7&lt;=$D27),IF(J$7&lt;=SemanaActual,"X","o"),""))</f>
        <v/>
      </c>
      <c r="K27" s="32" t="str">
        <f>IF($C27="","",IF(AND(K$7&gt;=$C27,K$7&lt;=$D27),IF(K$7&lt;=SemanaActual,"X","o"),""))</f>
        <v/>
      </c>
      <c r="L27" s="32" t="str">
        <f>IF($C27="","",IF(AND(L$7&gt;=$C27,L$7&lt;=$D27),IF(L$7&lt;=SemanaActual,"X","o"),""))</f>
        <v/>
      </c>
      <c r="M27" s="32" t="str">
        <f>IF($C27="","",IF(AND(M$7&gt;=$C27,M$7&lt;=$D27),IF(M$7&lt;=SemanaActual,"X","o"),""))</f>
        <v/>
      </c>
      <c r="N27" s="32" t="str">
        <f>IF($C27="","",IF(AND(N$7&gt;=$C27,N$7&lt;=$D27),IF(N$7&lt;=SemanaActual,"X","o"),""))</f>
        <v/>
      </c>
      <c r="O27" s="32" t="str">
        <f>IF($C27="","",IF(AND(O$7&gt;=$C27,O$7&lt;=$D27),IF(O$7&lt;=SemanaActual,"X","o"),""))</f>
        <v/>
      </c>
      <c r="P27" s="32" t="str">
        <f>IF($C27="","",IF(AND(P$7&gt;=$C27,P$7&lt;=$D27),IF(P$7&lt;=SemanaActual,"X","o"),""))</f>
        <v/>
      </c>
      <c r="Q27" s="32" t="str">
        <f>IF($C27="","",IF(AND(Q$7&gt;=$C27,Q$7&lt;=$D27),IF(Q$7&lt;=SemanaActual,"X","o"),""))</f>
        <v/>
      </c>
      <c r="R27" s="32" t="str">
        <f>IF($C27="","",IF(AND(R$7&gt;=$C27,R$7&lt;=$D27),IF(R$7&lt;=SemanaActual,"X","o"),""))</f>
        <v/>
      </c>
      <c r="S27" s="32" t="str">
        <f>IF($C27="","",IF(AND(S$7&gt;=$C27,S$7&lt;=$D27),IF(S$7&lt;=SemanaActual,"X","o"),""))</f>
        <v/>
      </c>
      <c r="T27" s="32" t="str">
        <f>IF($C27="","",IF(AND(T$7&gt;=$C27,T$7&lt;=$D27),IF(T$7&lt;=SemanaActual,"X","o"),""))</f>
        <v/>
      </c>
      <c r="U27" s="32" t="str">
        <f>IF($C27="","",IF(AND(U$7&gt;=$C27,U$7&lt;=$D27),IF(U$7&lt;=SemanaActual,"X","o"),""))</f>
        <v/>
      </c>
      <c r="V27" s="32" t="str">
        <f>IF($C27="","",IF(AND(V$7&gt;=$C27,V$7&lt;=$D27),IF(V$7&lt;=SemanaActual,"X","o"),""))</f>
        <v/>
      </c>
      <c r="W27" s="32" t="str">
        <f>IF($C27="","",IF(AND(W$7&gt;=$C27,W$7&lt;=$D27),IF(W$7&lt;=SemanaActual,"X","o"),""))</f>
        <v/>
      </c>
    </row>
    <row r="28" ht="14.25" customHeight="1"/>
    <row r="29" ht="14.25" customHeight="1">
      <c r="A29" s="58" t="s">
        <v>295</v>
      </c>
      <c r="L29" s="59" t="s">
        <v>296</v>
      </c>
      <c r="M29" s="59"/>
      <c r="R29" s="59" t="s">
        <v>296</v>
      </c>
      <c r="V29" s="59" t="s">
        <v>296</v>
      </c>
      <c r="W29" s="59" t="s">
        <v>296</v>
      </c>
    </row>
    <row r="30" ht="14.25" customHeight="1">
      <c r="L30" s="60" t="s">
        <v>36</v>
      </c>
      <c r="M30" s="60"/>
      <c r="R30" s="61" t="s">
        <v>42</v>
      </c>
      <c r="V30" s="61" t="s">
        <v>47</v>
      </c>
      <c r="W30" s="60" t="s">
        <v>297</v>
      </c>
    </row>
    <row r="31" ht="14.25" customHeight="1"/>
    <row r="32" ht="14.25" customHeight="1">
      <c r="A32" s="62" t="s">
        <v>298</v>
      </c>
      <c r="H32" s="63">
        <f t="shared" ref="H32:W32" si="3">COUNTIF(H9:H27,"X")+COUNTIF(H9:H27,"o")</f>
        <v>2</v>
      </c>
      <c r="I32" s="63">
        <f t="shared" si="3"/>
        <v>3</v>
      </c>
      <c r="J32" s="63">
        <f t="shared" si="3"/>
        <v>5</v>
      </c>
      <c r="K32" s="63">
        <f t="shared" si="3"/>
        <v>8</v>
      </c>
      <c r="L32" s="63">
        <f t="shared" si="3"/>
        <v>8</v>
      </c>
      <c r="M32" s="63">
        <f t="shared" si="3"/>
        <v>2</v>
      </c>
      <c r="N32" s="63">
        <f t="shared" si="3"/>
        <v>3</v>
      </c>
      <c r="O32" s="63">
        <f t="shared" si="3"/>
        <v>4</v>
      </c>
      <c r="P32" s="63">
        <f t="shared" si="3"/>
        <v>3</v>
      </c>
      <c r="Q32" s="63">
        <f t="shared" si="3"/>
        <v>3</v>
      </c>
      <c r="R32" s="63">
        <f t="shared" si="3"/>
        <v>4</v>
      </c>
      <c r="S32" s="63">
        <f t="shared" si="3"/>
        <v>5</v>
      </c>
      <c r="T32" s="63">
        <f t="shared" si="3"/>
        <v>5</v>
      </c>
      <c r="U32" s="63">
        <f t="shared" si="3"/>
        <v>4</v>
      </c>
      <c r="V32" s="63">
        <f t="shared" si="3"/>
        <v>3</v>
      </c>
      <c r="W32" s="63">
        <f t="shared" si="3"/>
        <v>1</v>
      </c>
    </row>
    <row r="33" ht="14.25" customHeight="1"/>
    <row r="34" ht="14.25" customHeight="1">
      <c r="A34" s="64" t="s">
        <v>299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H5:K5"/>
    <mergeCell ref="L5:V5"/>
    <mergeCell ref="H6:J6"/>
    <mergeCell ref="K6:M6"/>
    <mergeCell ref="N6:P6"/>
    <mergeCell ref="Q6:S6"/>
    <mergeCell ref="T6:V6"/>
    <mergeCell ref="A5:A8"/>
    <mergeCell ref="B5:B8"/>
    <mergeCell ref="C5:C8"/>
    <mergeCell ref="D5:D8"/>
    <mergeCell ref="E5:E8"/>
    <mergeCell ref="F5:F8"/>
    <mergeCell ref="G5:G8"/>
  </mergeCells>
  <conditionalFormatting sqref="F9:F27">
    <cfRule type="expression" dxfId="0" priority="1">
      <formula>$F9="Completada"</formula>
    </cfRule>
  </conditionalFormatting>
  <conditionalFormatting sqref="F9:F27">
    <cfRule type="expression" dxfId="1" priority="2">
      <formula>$F9="En curso"</formula>
    </cfRule>
  </conditionalFormatting>
  <conditionalFormatting sqref="F9:F27">
    <cfRule type="expression" dxfId="2" priority="3">
      <formula>$F9="Pendiente"</formula>
    </cfRule>
  </conditionalFormatting>
  <conditionalFormatting sqref="F9:F27">
    <cfRule type="expression" dxfId="3" priority="4">
      <formula>$F9="Fuera del compromiso"</formula>
    </cfRule>
  </conditionalFormatting>
  <conditionalFormatting sqref="F9:F27">
    <cfRule type="expression" dxfId="4" priority="5">
      <formula>$F9="Sin historias"</formula>
    </cfRule>
  </conditionalFormatting>
  <conditionalFormatting sqref="H9:W27">
    <cfRule type="expression" dxfId="3" priority="6" stopIfTrue="1">
      <formula>H9="o"</formula>
    </cfRule>
  </conditionalFormatting>
  <conditionalFormatting sqref="H9:W27">
    <cfRule type="expression" dxfId="0" priority="7">
      <formula>AND($F9="Completada",H9="X")</formula>
    </cfRule>
  </conditionalFormatting>
  <conditionalFormatting sqref="H9:W27">
    <cfRule type="expression" dxfId="1" priority="8">
      <formula>AND($F9="En curso",H9="X")</formula>
    </cfRule>
  </conditionalFormatting>
  <conditionalFormatting sqref="H9:W27">
    <cfRule type="expression" dxfId="2" priority="9">
      <formula>AND($F9="Pendiente",H9="X")</formula>
    </cfRule>
  </conditionalFormatting>
  <conditionalFormatting sqref="H9:W27">
    <cfRule type="expression" dxfId="3" priority="10">
      <formula>AND($F9="Fuera del compromiso",H9="X")</formula>
    </cfRule>
  </conditionalFormatting>
  <conditionalFormatting sqref="H9:W27">
    <cfRule type="expression" dxfId="4" priority="11">
      <formula>AND($F9="Sin historias",H9="X")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0"/>
    <col customWidth="1" min="2" max="2" width="52.0"/>
    <col customWidth="1" min="3" max="3" width="7.0"/>
    <col customWidth="1" min="4" max="4" width="6.0"/>
    <col customWidth="1" min="5" max="5" width="10.0"/>
    <col customWidth="1" min="6" max="6" width="12.0"/>
    <col customWidth="1" min="7" max="7" width="20.0"/>
    <col customWidth="1" min="8" max="8" width="38.0"/>
    <col customWidth="1" min="9" max="9" width="22.0"/>
    <col customWidth="1" min="10" max="10" width="80.0"/>
    <col customWidth="1" min="11" max="26" width="8.86"/>
  </cols>
  <sheetData>
    <row r="1" ht="14.25" customHeight="1">
      <c r="A1" s="1" t="s">
        <v>1</v>
      </c>
    </row>
    <row r="2" ht="14.25" customHeight="1">
      <c r="A2" s="3"/>
    </row>
    <row r="3" ht="14.25" customHeight="1">
      <c r="A3" s="5" t="s">
        <v>5</v>
      </c>
    </row>
    <row r="4" ht="14.25" customHeight="1"/>
    <row r="5" ht="14.25" customHeight="1">
      <c r="A5" s="6" t="s">
        <v>8</v>
      </c>
      <c r="B5" s="6" t="s">
        <v>11</v>
      </c>
      <c r="C5" s="6" t="s">
        <v>13</v>
      </c>
      <c r="D5" s="6" t="s">
        <v>15</v>
      </c>
      <c r="E5" s="6" t="s">
        <v>18</v>
      </c>
      <c r="F5" s="6" t="s">
        <v>7</v>
      </c>
      <c r="G5" s="6" t="s">
        <v>21</v>
      </c>
      <c r="H5" s="6" t="s">
        <v>25</v>
      </c>
      <c r="I5" s="6" t="s">
        <v>17</v>
      </c>
      <c r="J5" s="6" t="s">
        <v>27</v>
      </c>
    </row>
    <row r="6" ht="14.25" customHeight="1">
      <c r="A6" s="8" t="s">
        <v>28</v>
      </c>
      <c r="B6" s="10" t="s">
        <v>30</v>
      </c>
      <c r="C6" s="8" t="s">
        <v>32</v>
      </c>
      <c r="D6" s="8">
        <v>8.0</v>
      </c>
      <c r="E6" s="8" t="s">
        <v>33</v>
      </c>
      <c r="F6" s="8" t="s">
        <v>29</v>
      </c>
      <c r="G6" s="15" t="s">
        <v>38</v>
      </c>
      <c r="H6" s="10" t="s">
        <v>39</v>
      </c>
      <c r="I6" s="10" t="s">
        <v>40</v>
      </c>
      <c r="J6" s="10" t="s">
        <v>41</v>
      </c>
    </row>
    <row r="7" ht="14.25" customHeight="1">
      <c r="A7" s="8" t="s">
        <v>43</v>
      </c>
      <c r="B7" s="10" t="s">
        <v>44</v>
      </c>
      <c r="C7" s="8" t="s">
        <v>32</v>
      </c>
      <c r="D7" s="8">
        <v>8.0</v>
      </c>
      <c r="E7" s="8" t="s">
        <v>33</v>
      </c>
      <c r="F7" s="8" t="s">
        <v>29</v>
      </c>
      <c r="G7" s="15" t="s">
        <v>38</v>
      </c>
      <c r="H7" s="10" t="s">
        <v>45</v>
      </c>
      <c r="I7" s="10" t="s">
        <v>40</v>
      </c>
      <c r="J7" s="10" t="s">
        <v>46</v>
      </c>
    </row>
    <row r="8" ht="14.25" customHeight="1">
      <c r="A8" s="8" t="s">
        <v>48</v>
      </c>
      <c r="B8" s="10" t="s">
        <v>49</v>
      </c>
      <c r="C8" s="8" t="s">
        <v>32</v>
      </c>
      <c r="D8" s="8">
        <v>5.0</v>
      </c>
      <c r="E8" s="8" t="s">
        <v>33</v>
      </c>
      <c r="F8" s="8" t="s">
        <v>29</v>
      </c>
      <c r="G8" s="15" t="s">
        <v>38</v>
      </c>
      <c r="H8" s="10" t="s">
        <v>45</v>
      </c>
      <c r="I8" s="10" t="s">
        <v>40</v>
      </c>
      <c r="J8" s="10" t="s">
        <v>50</v>
      </c>
    </row>
    <row r="9" ht="14.25" customHeight="1">
      <c r="A9" s="8" t="s">
        <v>51</v>
      </c>
      <c r="B9" s="10" t="s">
        <v>52</v>
      </c>
      <c r="C9" s="8" t="s">
        <v>32</v>
      </c>
      <c r="D9" s="8">
        <v>8.0</v>
      </c>
      <c r="E9" s="8" t="s">
        <v>33</v>
      </c>
      <c r="F9" s="8" t="s">
        <v>53</v>
      </c>
      <c r="G9" s="15" t="s">
        <v>38</v>
      </c>
      <c r="H9" s="10" t="s">
        <v>45</v>
      </c>
      <c r="I9" s="10" t="s">
        <v>40</v>
      </c>
      <c r="J9" s="10" t="s">
        <v>54</v>
      </c>
    </row>
    <row r="10" ht="14.25" customHeight="1">
      <c r="A10" s="8" t="s">
        <v>55</v>
      </c>
      <c r="B10" s="10" t="s">
        <v>56</v>
      </c>
      <c r="C10" s="8" t="s">
        <v>32</v>
      </c>
      <c r="D10" s="8">
        <v>5.0</v>
      </c>
      <c r="E10" s="8" t="s">
        <v>57</v>
      </c>
      <c r="F10" s="8" t="s">
        <v>53</v>
      </c>
      <c r="G10" s="15" t="s">
        <v>38</v>
      </c>
      <c r="H10" s="10" t="s">
        <v>39</v>
      </c>
      <c r="I10" s="10" t="s">
        <v>58</v>
      </c>
      <c r="J10" s="10" t="s">
        <v>59</v>
      </c>
    </row>
    <row r="11" ht="14.25" customHeight="1">
      <c r="A11" s="8" t="s">
        <v>61</v>
      </c>
      <c r="B11" s="10" t="s">
        <v>62</v>
      </c>
      <c r="C11" s="8" t="s">
        <v>63</v>
      </c>
      <c r="D11" s="8">
        <v>8.0</v>
      </c>
      <c r="E11" s="8" t="s">
        <v>33</v>
      </c>
      <c r="F11" s="8" t="s">
        <v>53</v>
      </c>
      <c r="G11" s="15" t="s">
        <v>38</v>
      </c>
      <c r="H11" s="10" t="s">
        <v>65</v>
      </c>
      <c r="I11" s="10" t="s">
        <v>58</v>
      </c>
      <c r="J11" s="10" t="s">
        <v>66</v>
      </c>
    </row>
    <row r="12" ht="14.25" customHeight="1">
      <c r="A12" s="8" t="s">
        <v>68</v>
      </c>
      <c r="B12" s="10" t="s">
        <v>69</v>
      </c>
      <c r="C12" s="8" t="s">
        <v>63</v>
      </c>
      <c r="D12" s="8">
        <v>5.0</v>
      </c>
      <c r="E12" s="8" t="s">
        <v>57</v>
      </c>
      <c r="F12" s="8" t="s">
        <v>60</v>
      </c>
      <c r="G12" s="15" t="s">
        <v>71</v>
      </c>
      <c r="H12" s="10" t="s">
        <v>72</v>
      </c>
      <c r="I12" s="10" t="s">
        <v>58</v>
      </c>
      <c r="J12" s="10" t="s">
        <v>73</v>
      </c>
    </row>
    <row r="13" ht="14.25" customHeight="1">
      <c r="A13" s="8" t="s">
        <v>74</v>
      </c>
      <c r="B13" s="10" t="s">
        <v>75</v>
      </c>
      <c r="C13" s="8" t="s">
        <v>63</v>
      </c>
      <c r="D13" s="8">
        <v>5.0</v>
      </c>
      <c r="E13" s="8" t="s">
        <v>33</v>
      </c>
      <c r="F13" s="8" t="s">
        <v>60</v>
      </c>
      <c r="G13" s="15" t="s">
        <v>76</v>
      </c>
      <c r="H13" s="10" t="s">
        <v>77</v>
      </c>
      <c r="I13" s="10" t="s">
        <v>58</v>
      </c>
      <c r="J13" s="10" t="s">
        <v>78</v>
      </c>
    </row>
    <row r="14" ht="14.25" customHeight="1">
      <c r="A14" s="8" t="s">
        <v>79</v>
      </c>
      <c r="B14" s="10" t="s">
        <v>80</v>
      </c>
      <c r="C14" s="8" t="s">
        <v>82</v>
      </c>
      <c r="D14" s="8">
        <v>5.0</v>
      </c>
      <c r="E14" s="8" t="s">
        <v>33</v>
      </c>
      <c r="F14" s="8" t="s">
        <v>53</v>
      </c>
      <c r="G14" s="15" t="s">
        <v>38</v>
      </c>
      <c r="H14" s="10" t="s">
        <v>86</v>
      </c>
      <c r="I14" s="10" t="s">
        <v>40</v>
      </c>
      <c r="J14" s="10" t="s">
        <v>88</v>
      </c>
    </row>
    <row r="15" ht="14.25" customHeight="1">
      <c r="A15" s="8" t="s">
        <v>90</v>
      </c>
      <c r="B15" s="10" t="s">
        <v>91</v>
      </c>
      <c r="C15" s="8" t="s">
        <v>82</v>
      </c>
      <c r="D15" s="8">
        <v>5.0</v>
      </c>
      <c r="E15" s="8" t="s">
        <v>33</v>
      </c>
      <c r="F15" s="8" t="s">
        <v>53</v>
      </c>
      <c r="G15" s="15" t="s">
        <v>38</v>
      </c>
      <c r="H15" s="10" t="s">
        <v>86</v>
      </c>
      <c r="I15" s="10" t="s">
        <v>40</v>
      </c>
      <c r="J15" s="10" t="s">
        <v>99</v>
      </c>
    </row>
    <row r="16" ht="14.25" customHeight="1">
      <c r="A16" s="8" t="s">
        <v>102</v>
      </c>
      <c r="B16" s="10" t="s">
        <v>104</v>
      </c>
      <c r="C16" s="8" t="s">
        <v>82</v>
      </c>
      <c r="D16" s="8">
        <v>8.0</v>
      </c>
      <c r="E16" s="8" t="s">
        <v>33</v>
      </c>
      <c r="F16" s="8" t="s">
        <v>53</v>
      </c>
      <c r="G16" s="15" t="s">
        <v>38</v>
      </c>
      <c r="H16" s="10" t="s">
        <v>86</v>
      </c>
      <c r="I16" s="10" t="s">
        <v>110</v>
      </c>
      <c r="J16" s="10" t="s">
        <v>111</v>
      </c>
    </row>
    <row r="17" ht="14.25" customHeight="1">
      <c r="A17" s="8" t="s">
        <v>113</v>
      </c>
      <c r="B17" s="10" t="s">
        <v>114</v>
      </c>
      <c r="C17" s="8" t="s">
        <v>82</v>
      </c>
      <c r="D17" s="8">
        <v>5.0</v>
      </c>
      <c r="E17" s="8" t="s">
        <v>33</v>
      </c>
      <c r="F17" s="8" t="s">
        <v>53</v>
      </c>
      <c r="G17" s="15" t="s">
        <v>38</v>
      </c>
      <c r="H17" s="10" t="s">
        <v>116</v>
      </c>
      <c r="I17" s="10" t="s">
        <v>40</v>
      </c>
      <c r="J17" s="10" t="s">
        <v>117</v>
      </c>
    </row>
    <row r="18" ht="14.25" customHeight="1">
      <c r="A18" s="8" t="s">
        <v>118</v>
      </c>
      <c r="B18" s="10" t="s">
        <v>119</v>
      </c>
      <c r="C18" s="8" t="s">
        <v>82</v>
      </c>
      <c r="D18" s="8">
        <v>8.0</v>
      </c>
      <c r="E18" s="8" t="s">
        <v>33</v>
      </c>
      <c r="F18" s="8" t="s">
        <v>53</v>
      </c>
      <c r="G18" s="15" t="s">
        <v>38</v>
      </c>
      <c r="H18" s="10" t="s">
        <v>120</v>
      </c>
      <c r="I18" s="10" t="s">
        <v>121</v>
      </c>
      <c r="J18" s="10" t="s">
        <v>122</v>
      </c>
    </row>
    <row r="19" ht="14.25" customHeight="1">
      <c r="A19" s="8" t="s">
        <v>123</v>
      </c>
      <c r="B19" s="10" t="s">
        <v>124</v>
      </c>
      <c r="C19" s="8" t="s">
        <v>82</v>
      </c>
      <c r="D19" s="8">
        <v>3.0</v>
      </c>
      <c r="E19" s="8" t="s">
        <v>33</v>
      </c>
      <c r="F19" s="8" t="s">
        <v>53</v>
      </c>
      <c r="G19" s="15" t="s">
        <v>38</v>
      </c>
      <c r="H19" s="10" t="s">
        <v>120</v>
      </c>
      <c r="I19" s="10" t="s">
        <v>121</v>
      </c>
      <c r="J19" s="10" t="s">
        <v>126</v>
      </c>
    </row>
    <row r="20" ht="14.25" customHeight="1">
      <c r="A20" s="8" t="s">
        <v>128</v>
      </c>
      <c r="B20" s="10" t="s">
        <v>130</v>
      </c>
      <c r="C20" s="8" t="s">
        <v>131</v>
      </c>
      <c r="D20" s="8">
        <v>8.0</v>
      </c>
      <c r="E20" s="8" t="s">
        <v>57</v>
      </c>
      <c r="F20" s="8" t="s">
        <v>60</v>
      </c>
      <c r="G20" s="15" t="s">
        <v>71</v>
      </c>
      <c r="H20" s="10" t="s">
        <v>134</v>
      </c>
      <c r="I20" s="10" t="s">
        <v>115</v>
      </c>
      <c r="J20" s="10" t="s">
        <v>135</v>
      </c>
    </row>
    <row r="21" ht="14.25" customHeight="1">
      <c r="A21" s="8" t="s">
        <v>136</v>
      </c>
      <c r="B21" s="10" t="s">
        <v>137</v>
      </c>
      <c r="C21" s="8" t="s">
        <v>131</v>
      </c>
      <c r="D21" s="8">
        <v>5.0</v>
      </c>
      <c r="E21" s="8" t="s">
        <v>57</v>
      </c>
      <c r="F21" s="8" t="s">
        <v>64</v>
      </c>
      <c r="G21" s="15" t="s">
        <v>71</v>
      </c>
      <c r="H21" s="10" t="s">
        <v>134</v>
      </c>
      <c r="I21" s="10" t="s">
        <v>115</v>
      </c>
      <c r="J21" s="10" t="s">
        <v>138</v>
      </c>
    </row>
    <row r="22" ht="14.25" customHeight="1">
      <c r="A22" s="8" t="s">
        <v>139</v>
      </c>
      <c r="B22" s="10" t="s">
        <v>140</v>
      </c>
      <c r="C22" s="8" t="s">
        <v>131</v>
      </c>
      <c r="D22" s="8">
        <v>5.0</v>
      </c>
      <c r="E22" s="8" t="s">
        <v>57</v>
      </c>
      <c r="F22" s="8" t="s">
        <v>64</v>
      </c>
      <c r="G22" s="15" t="s">
        <v>71</v>
      </c>
      <c r="H22" s="10" t="s">
        <v>134</v>
      </c>
      <c r="I22" s="10" t="s">
        <v>115</v>
      </c>
      <c r="J22" s="10" t="s">
        <v>141</v>
      </c>
    </row>
    <row r="23" ht="14.25" customHeight="1">
      <c r="A23" s="8" t="s">
        <v>142</v>
      </c>
      <c r="B23" s="10" t="s">
        <v>143</v>
      </c>
      <c r="C23" s="8" t="s">
        <v>144</v>
      </c>
      <c r="D23" s="8">
        <v>8.0</v>
      </c>
      <c r="E23" s="8" t="s">
        <v>57</v>
      </c>
      <c r="F23" s="8" t="s">
        <v>67</v>
      </c>
      <c r="G23" s="15" t="s">
        <v>71</v>
      </c>
      <c r="H23" s="10" t="s">
        <v>145</v>
      </c>
      <c r="I23" s="10" t="s">
        <v>115</v>
      </c>
      <c r="J23" s="10" t="s">
        <v>146</v>
      </c>
    </row>
    <row r="24" ht="14.25" customHeight="1">
      <c r="A24" s="8" t="s">
        <v>147</v>
      </c>
      <c r="B24" s="10" t="s">
        <v>148</v>
      </c>
      <c r="C24" s="8" t="s">
        <v>144</v>
      </c>
      <c r="D24" s="8">
        <v>8.0</v>
      </c>
      <c r="E24" s="8" t="s">
        <v>57</v>
      </c>
      <c r="F24" s="8" t="s">
        <v>67</v>
      </c>
      <c r="G24" s="15" t="s">
        <v>71</v>
      </c>
      <c r="H24" s="10" t="s">
        <v>145</v>
      </c>
      <c r="I24" s="10" t="s">
        <v>115</v>
      </c>
      <c r="J24" s="10" t="s">
        <v>149</v>
      </c>
    </row>
    <row r="25" ht="14.25" customHeight="1">
      <c r="A25" s="8" t="s">
        <v>150</v>
      </c>
      <c r="B25" s="10" t="s">
        <v>151</v>
      </c>
      <c r="C25" s="8" t="s">
        <v>152</v>
      </c>
      <c r="D25" s="8">
        <v>8.0</v>
      </c>
      <c r="E25" s="8" t="s">
        <v>33</v>
      </c>
      <c r="F25" s="8" t="s">
        <v>53</v>
      </c>
      <c r="G25" s="15" t="s">
        <v>38</v>
      </c>
      <c r="H25" s="10" t="s">
        <v>153</v>
      </c>
      <c r="I25" s="10" t="s">
        <v>121</v>
      </c>
      <c r="J25" s="10" t="s">
        <v>154</v>
      </c>
    </row>
    <row r="26" ht="14.25" customHeight="1">
      <c r="A26" s="8" t="s">
        <v>155</v>
      </c>
      <c r="B26" s="10" t="s">
        <v>156</v>
      </c>
      <c r="C26" s="8" t="s">
        <v>152</v>
      </c>
      <c r="D26" s="8">
        <v>5.0</v>
      </c>
      <c r="E26" s="8" t="s">
        <v>33</v>
      </c>
      <c r="F26" s="8" t="s">
        <v>53</v>
      </c>
      <c r="G26" s="15" t="s">
        <v>38</v>
      </c>
      <c r="H26" s="10" t="s">
        <v>153</v>
      </c>
      <c r="I26" s="10" t="s">
        <v>121</v>
      </c>
      <c r="J26" s="10" t="s">
        <v>157</v>
      </c>
    </row>
    <row r="27" ht="14.25" customHeight="1">
      <c r="A27" s="8" t="s">
        <v>158</v>
      </c>
      <c r="B27" s="10" t="s">
        <v>159</v>
      </c>
      <c r="C27" s="8" t="s">
        <v>152</v>
      </c>
      <c r="D27" s="8">
        <v>5.0</v>
      </c>
      <c r="E27" s="8" t="s">
        <v>33</v>
      </c>
      <c r="F27" s="8" t="s">
        <v>53</v>
      </c>
      <c r="G27" s="15" t="s">
        <v>38</v>
      </c>
      <c r="H27" s="10" t="s">
        <v>153</v>
      </c>
      <c r="I27" s="10" t="s">
        <v>121</v>
      </c>
      <c r="J27" s="10" t="s">
        <v>160</v>
      </c>
    </row>
    <row r="28" ht="14.25" customHeight="1">
      <c r="A28" s="8" t="s">
        <v>161</v>
      </c>
      <c r="B28" s="10" t="s">
        <v>163</v>
      </c>
      <c r="C28" s="8" t="s">
        <v>152</v>
      </c>
      <c r="D28" s="8">
        <v>5.0</v>
      </c>
      <c r="E28" s="8" t="s">
        <v>164</v>
      </c>
      <c r="F28" s="8" t="s">
        <v>64</v>
      </c>
      <c r="G28" s="15" t="s">
        <v>71</v>
      </c>
      <c r="H28" s="10" t="s">
        <v>167</v>
      </c>
      <c r="I28" s="10" t="s">
        <v>121</v>
      </c>
      <c r="J28" s="10" t="s">
        <v>170</v>
      </c>
    </row>
    <row r="29" ht="14.25" customHeight="1">
      <c r="A29" s="8" t="s">
        <v>171</v>
      </c>
      <c r="B29" s="10" t="s">
        <v>172</v>
      </c>
      <c r="C29" s="8" t="s">
        <v>152</v>
      </c>
      <c r="D29" s="8">
        <v>3.0</v>
      </c>
      <c r="E29" s="8" t="s">
        <v>33</v>
      </c>
      <c r="F29" s="8" t="s">
        <v>64</v>
      </c>
      <c r="G29" s="15" t="s">
        <v>71</v>
      </c>
      <c r="H29" s="10" t="s">
        <v>167</v>
      </c>
      <c r="I29" s="10" t="s">
        <v>58</v>
      </c>
      <c r="J29" s="10" t="s">
        <v>173</v>
      </c>
    </row>
    <row r="30" ht="14.25" customHeight="1">
      <c r="A30" s="8" t="s">
        <v>174</v>
      </c>
      <c r="B30" s="10" t="s">
        <v>175</v>
      </c>
      <c r="C30" s="8" t="s">
        <v>176</v>
      </c>
      <c r="D30" s="8">
        <v>8.0</v>
      </c>
      <c r="E30" s="8" t="s">
        <v>164</v>
      </c>
      <c r="F30" s="8" t="s">
        <v>177</v>
      </c>
      <c r="G30" s="15" t="s">
        <v>178</v>
      </c>
      <c r="H30" s="10" t="s">
        <v>179</v>
      </c>
      <c r="I30" s="10" t="s">
        <v>180</v>
      </c>
      <c r="J30" s="10" t="s">
        <v>181</v>
      </c>
    </row>
    <row r="31" ht="14.25" customHeight="1">
      <c r="A31" s="8" t="s">
        <v>182</v>
      </c>
      <c r="B31" s="10" t="s">
        <v>183</v>
      </c>
      <c r="C31" s="8" t="s">
        <v>176</v>
      </c>
      <c r="D31" s="8">
        <v>5.0</v>
      </c>
      <c r="E31" s="8" t="s">
        <v>164</v>
      </c>
      <c r="F31" s="8" t="s">
        <v>177</v>
      </c>
      <c r="G31" s="15" t="s">
        <v>178</v>
      </c>
      <c r="H31" s="10" t="s">
        <v>179</v>
      </c>
      <c r="I31" s="10" t="s">
        <v>180</v>
      </c>
      <c r="J31" s="10" t="s">
        <v>184</v>
      </c>
    </row>
    <row r="32" ht="14.25" customHeight="1">
      <c r="A32" s="8" t="s">
        <v>185</v>
      </c>
      <c r="B32" s="10" t="s">
        <v>186</v>
      </c>
      <c r="C32" s="8" t="s">
        <v>176</v>
      </c>
      <c r="D32" s="8">
        <v>3.0</v>
      </c>
      <c r="E32" s="8" t="s">
        <v>164</v>
      </c>
      <c r="F32" s="8" t="s">
        <v>177</v>
      </c>
      <c r="G32" s="15" t="s">
        <v>178</v>
      </c>
      <c r="H32" s="10" t="s">
        <v>179</v>
      </c>
      <c r="I32" s="10" t="s">
        <v>180</v>
      </c>
      <c r="J32" s="10" t="s">
        <v>187</v>
      </c>
    </row>
    <row r="33" ht="14.25" customHeight="1">
      <c r="A33" s="8" t="s">
        <v>188</v>
      </c>
      <c r="B33" s="10" t="s">
        <v>189</v>
      </c>
      <c r="C33" s="8" t="s">
        <v>190</v>
      </c>
      <c r="D33" s="8">
        <v>5.0</v>
      </c>
      <c r="E33" s="8" t="s">
        <v>33</v>
      </c>
      <c r="F33" s="8" t="s">
        <v>60</v>
      </c>
      <c r="G33" s="15" t="s">
        <v>71</v>
      </c>
      <c r="H33" s="10" t="s">
        <v>191</v>
      </c>
      <c r="I33" s="10" t="s">
        <v>58</v>
      </c>
      <c r="J33" s="10" t="s">
        <v>192</v>
      </c>
    </row>
    <row r="34" ht="14.25" customHeight="1">
      <c r="A34" s="8" t="s">
        <v>193</v>
      </c>
      <c r="B34" s="10" t="s">
        <v>194</v>
      </c>
      <c r="C34" s="8" t="s">
        <v>190</v>
      </c>
      <c r="D34" s="8">
        <v>5.0</v>
      </c>
      <c r="E34" s="8" t="s">
        <v>33</v>
      </c>
      <c r="F34" s="8" t="s">
        <v>29</v>
      </c>
      <c r="G34" s="15" t="s">
        <v>38</v>
      </c>
      <c r="H34" s="10" t="s">
        <v>196</v>
      </c>
      <c r="I34" s="10" t="s">
        <v>58</v>
      </c>
      <c r="J34" s="10" t="s">
        <v>197</v>
      </c>
    </row>
    <row r="35" ht="14.25" customHeight="1">
      <c r="A35" s="8" t="s">
        <v>199</v>
      </c>
      <c r="B35" s="10" t="s">
        <v>201</v>
      </c>
      <c r="C35" s="8" t="s">
        <v>190</v>
      </c>
      <c r="D35" s="8">
        <v>5.0</v>
      </c>
      <c r="E35" s="8" t="s">
        <v>33</v>
      </c>
      <c r="F35" s="8" t="s">
        <v>67</v>
      </c>
      <c r="G35" s="15" t="s">
        <v>71</v>
      </c>
      <c r="H35" s="10" t="s">
        <v>191</v>
      </c>
      <c r="I35" s="10" t="s">
        <v>58</v>
      </c>
      <c r="J35" s="10" t="s">
        <v>204</v>
      </c>
    </row>
    <row r="36" ht="14.25" customHeight="1">
      <c r="A36" s="8" t="s">
        <v>205</v>
      </c>
      <c r="B36" s="10" t="s">
        <v>206</v>
      </c>
      <c r="C36" s="8" t="s">
        <v>190</v>
      </c>
      <c r="D36" s="8">
        <v>3.0</v>
      </c>
      <c r="E36" s="8" t="s">
        <v>33</v>
      </c>
      <c r="F36" s="8" t="s">
        <v>67</v>
      </c>
      <c r="G36" s="15" t="s">
        <v>71</v>
      </c>
      <c r="H36" s="10" t="s">
        <v>207</v>
      </c>
      <c r="I36" s="10" t="s">
        <v>115</v>
      </c>
      <c r="J36" s="10" t="s">
        <v>208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J$36"/>
  <conditionalFormatting sqref="G6:G36">
    <cfRule type="expression" dxfId="0" priority="1">
      <formula>$G6="Terminada"</formula>
    </cfRule>
  </conditionalFormatting>
  <conditionalFormatting sqref="G6:G36">
    <cfRule type="expression" dxfId="1" priority="2">
      <formula>$G6="En curso"</formula>
    </cfRule>
  </conditionalFormatting>
  <conditionalFormatting sqref="G6:G36">
    <cfRule type="expression" dxfId="2" priority="3">
      <formula>$G6="No iniciada"</formula>
    </cfRule>
  </conditionalFormatting>
  <conditionalFormatting sqref="G6:G36">
    <cfRule type="expression" dxfId="3" priority="4">
      <formula>$G6="Fuera del compromiso"</formula>
    </cfRule>
  </conditionalFormatting>
  <dataValidations>
    <dataValidation type="list" allowBlank="1" sqref="F6:F36">
      <formula1>"Sprint 0,Sprint 1,Sprint 2,Sprint 3,Sprint 4,Sin asignar"</formula1>
    </dataValidation>
    <dataValidation type="list" allowBlank="1" sqref="G6:G36">
      <formula1>"Terminada,En curso,No iniciada,Fuera del compromiso"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4" width="12.0"/>
    <col customWidth="1" min="5" max="5" width="32.0"/>
    <col customWidth="1" min="6" max="6" width="11.0"/>
    <col customWidth="1" min="7" max="7" width="10.0"/>
    <col customWidth="1" min="8" max="8" width="8.0"/>
    <col customWidth="1" min="9" max="9" width="52.0"/>
    <col customWidth="1" min="10" max="26" width="8.86"/>
  </cols>
  <sheetData>
    <row r="1" ht="14.25" customHeight="1">
      <c r="A1" s="2" t="s">
        <v>2</v>
      </c>
    </row>
    <row r="2" ht="14.25" customHeight="1">
      <c r="A2" s="4" t="s">
        <v>4</v>
      </c>
    </row>
    <row r="3" ht="14.25" customHeight="1"/>
    <row r="4" ht="14.25" customHeight="1"/>
    <row r="5" ht="14.25" customHeight="1">
      <c r="A5" s="6" t="s">
        <v>7</v>
      </c>
      <c r="B5" s="6" t="s">
        <v>10</v>
      </c>
      <c r="C5" s="6" t="s">
        <v>12</v>
      </c>
      <c r="D5" s="6" t="s">
        <v>14</v>
      </c>
      <c r="E5" s="6" t="s">
        <v>16</v>
      </c>
      <c r="F5" s="6" t="s">
        <v>19</v>
      </c>
      <c r="G5" s="6" t="s">
        <v>20</v>
      </c>
      <c r="H5" s="6" t="s">
        <v>22</v>
      </c>
      <c r="I5" s="6" t="s">
        <v>24</v>
      </c>
    </row>
    <row r="6" ht="14.25" customHeight="1">
      <c r="A6" s="9" t="s">
        <v>29</v>
      </c>
      <c r="B6" s="11" t="s">
        <v>31</v>
      </c>
      <c r="C6" s="11" t="s">
        <v>34</v>
      </c>
      <c r="D6" s="11" t="s">
        <v>35</v>
      </c>
      <c r="E6" s="12" t="s">
        <v>37</v>
      </c>
      <c r="F6" s="11">
        <f>SUMIFS(Backlog!$D$6:$D$36,Backlog!$F$6:$F$36,$A6,Backlog!$G$6:$G$36,"&lt;&gt;Fuera del compromiso")</f>
        <v>26</v>
      </c>
      <c r="G6" s="11">
        <f>SUMIFS(Backlog!$D$6:$D$36,Backlog!$F$6:$F$36,$A6,Backlog!$G$6:$G$36,"Terminada")</f>
        <v>26</v>
      </c>
      <c r="H6" s="24">
        <f t="shared" ref="H6:H11" si="1">IFERROR(G6/F6,0)</f>
        <v>1</v>
      </c>
      <c r="I6" s="12" t="s">
        <v>81</v>
      </c>
    </row>
    <row r="7" ht="14.25" customHeight="1">
      <c r="A7" s="9" t="s">
        <v>53</v>
      </c>
      <c r="B7" s="11" t="s">
        <v>83</v>
      </c>
      <c r="C7" s="11" t="s">
        <v>84</v>
      </c>
      <c r="D7" s="11" t="s">
        <v>85</v>
      </c>
      <c r="E7" s="12" t="s">
        <v>87</v>
      </c>
      <c r="F7" s="11">
        <f>SUMIFS(Backlog!$D$6:$D$36,Backlog!$F$6:$F$36,$A7,Backlog!$G$6:$G$36,"&lt;&gt;Fuera del compromiso")</f>
        <v>73</v>
      </c>
      <c r="G7" s="11">
        <f>SUMIFS(Backlog!$D$6:$D$36,Backlog!$F$6:$F$36,$A7,Backlog!$G$6:$G$36,"Terminada")</f>
        <v>73</v>
      </c>
      <c r="H7" s="24">
        <f t="shared" si="1"/>
        <v>1</v>
      </c>
      <c r="I7" s="12" t="s">
        <v>125</v>
      </c>
    </row>
    <row r="8" ht="14.25" customHeight="1">
      <c r="A8" s="9" t="s">
        <v>60</v>
      </c>
      <c r="B8" s="11" t="s">
        <v>127</v>
      </c>
      <c r="C8" s="11" t="s">
        <v>129</v>
      </c>
      <c r="D8" s="11" t="s">
        <v>132</v>
      </c>
      <c r="E8" s="12" t="s">
        <v>133</v>
      </c>
      <c r="F8" s="11">
        <f>SUMIFS(Backlog!$D$6:$D$36,Backlog!$F$6:$F$36,$A8,Backlog!$G$6:$G$36,"&lt;&gt;Fuera del compromiso")</f>
        <v>23</v>
      </c>
      <c r="G8" s="11">
        <f>SUMIFS(Backlog!$D$6:$D$36,Backlog!$F$6:$F$36,$A8,Backlog!$G$6:$G$36,"Terminada")</f>
        <v>0</v>
      </c>
      <c r="H8" s="24">
        <f t="shared" si="1"/>
        <v>0</v>
      </c>
      <c r="I8" s="12" t="s">
        <v>162</v>
      </c>
    </row>
    <row r="9" ht="14.25" customHeight="1">
      <c r="A9" s="9" t="s">
        <v>64</v>
      </c>
      <c r="B9" s="11" t="s">
        <v>165</v>
      </c>
      <c r="C9" s="11" t="s">
        <v>166</v>
      </c>
      <c r="D9" s="11" t="s">
        <v>168</v>
      </c>
      <c r="E9" s="12" t="s">
        <v>169</v>
      </c>
      <c r="F9" s="11">
        <f>SUMIFS(Backlog!$D$6:$D$36,Backlog!$F$6:$F$36,$A9,Backlog!$G$6:$G$36,"&lt;&gt;Fuera del compromiso")</f>
        <v>18</v>
      </c>
      <c r="G9" s="11">
        <f>SUMIFS(Backlog!$D$6:$D$36,Backlog!$F$6:$F$36,$A9,Backlog!$G$6:$G$36,"Terminada")</f>
        <v>0</v>
      </c>
      <c r="H9" s="24">
        <f t="shared" si="1"/>
        <v>0</v>
      </c>
      <c r="I9" s="12" t="s">
        <v>195</v>
      </c>
    </row>
    <row r="10" ht="14.25" customHeight="1">
      <c r="A10" s="9" t="s">
        <v>67</v>
      </c>
      <c r="B10" s="11" t="s">
        <v>198</v>
      </c>
      <c r="C10" s="11" t="s">
        <v>200</v>
      </c>
      <c r="D10" s="11" t="s">
        <v>202</v>
      </c>
      <c r="E10" s="12" t="s">
        <v>203</v>
      </c>
      <c r="F10" s="11">
        <f>SUMIFS(Backlog!$D$6:$D$36,Backlog!$F$6:$F$36,$A10,Backlog!$G$6:$G$36,"&lt;&gt;Fuera del compromiso")</f>
        <v>24</v>
      </c>
      <c r="G10" s="11">
        <f>SUMIFS(Backlog!$D$6:$D$36,Backlog!$F$6:$F$36,$A10,Backlog!$G$6:$G$36,"Terminada")</f>
        <v>0</v>
      </c>
      <c r="H10" s="24">
        <f t="shared" si="1"/>
        <v>0</v>
      </c>
      <c r="I10" s="12" t="s">
        <v>210</v>
      </c>
    </row>
    <row r="11" ht="14.25" customHeight="1">
      <c r="A11" s="9" t="s">
        <v>70</v>
      </c>
      <c r="B11" s="11" t="s">
        <v>212</v>
      </c>
      <c r="C11" s="11" t="s">
        <v>213</v>
      </c>
      <c r="D11" s="11" t="s">
        <v>214</v>
      </c>
      <c r="E11" s="12" t="s">
        <v>215</v>
      </c>
      <c r="F11" s="11">
        <f>SUMIFS(Backlog!$D$6:$D$36,Backlog!$F$6:$F$36,$A11,Backlog!$G$6:$G$36,"&lt;&gt;Fuera del compromiso")</f>
        <v>0</v>
      </c>
      <c r="G11" s="11">
        <f>SUMIFS(Backlog!$D$6:$D$36,Backlog!$F$6:$F$36,$A11,Backlog!$G$6:$G$36,"Terminada")</f>
        <v>0</v>
      </c>
      <c r="H11" s="24">
        <f t="shared" si="1"/>
        <v>0</v>
      </c>
      <c r="I11" s="12" t="s">
        <v>217</v>
      </c>
    </row>
    <row r="12" ht="14.25" customHeight="1"/>
    <row r="13" ht="14.25" customHeight="1"/>
    <row r="14" ht="14.25" customHeight="1">
      <c r="A14" s="34" t="s">
        <v>218</v>
      </c>
    </row>
    <row r="15" ht="30.0" customHeight="1">
      <c r="A15" s="35" t="s">
        <v>219</v>
      </c>
    </row>
    <row r="16" ht="30.0" customHeight="1">
      <c r="A16" s="35" t="s">
        <v>220</v>
      </c>
    </row>
    <row r="17" ht="30.0" customHeight="1">
      <c r="A17" s="35" t="s">
        <v>221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5:I15"/>
    <mergeCell ref="A16:I16"/>
    <mergeCell ref="A17:I1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8.0"/>
    <col customWidth="1" min="3" max="3" width="46.0"/>
    <col customWidth="1" min="4" max="4" width="18.0"/>
    <col customWidth="1" min="5" max="5" width="70.0"/>
    <col customWidth="1" min="6" max="26" width="8.86"/>
  </cols>
  <sheetData>
    <row r="1" ht="14.25" customHeight="1">
      <c r="A1" s="2" t="s">
        <v>235</v>
      </c>
    </row>
    <row r="2" ht="14.25" customHeight="1">
      <c r="A2" s="3" t="s">
        <v>236</v>
      </c>
    </row>
    <row r="3" ht="14.25" customHeight="1"/>
    <row r="4" ht="14.25" customHeight="1"/>
    <row r="5" ht="14.25" customHeight="1">
      <c r="A5" s="6" t="s">
        <v>237</v>
      </c>
      <c r="B5" s="6" t="s">
        <v>238</v>
      </c>
      <c r="C5" s="6" t="s">
        <v>230</v>
      </c>
      <c r="D5" s="6" t="s">
        <v>239</v>
      </c>
      <c r="E5" s="6" t="s">
        <v>240</v>
      </c>
    </row>
    <row r="6" ht="14.25" customHeight="1">
      <c r="A6" s="11" t="s">
        <v>241</v>
      </c>
      <c r="B6" s="12" t="s">
        <v>242</v>
      </c>
      <c r="C6" s="12" t="s">
        <v>243</v>
      </c>
      <c r="D6" s="12" t="s">
        <v>244</v>
      </c>
      <c r="E6" s="12" t="s">
        <v>245</v>
      </c>
    </row>
    <row r="7" ht="14.25" customHeight="1">
      <c r="A7" s="11" t="s">
        <v>246</v>
      </c>
      <c r="B7" s="12" t="s">
        <v>247</v>
      </c>
      <c r="C7" s="12" t="s">
        <v>248</v>
      </c>
      <c r="D7" s="12" t="s">
        <v>249</v>
      </c>
      <c r="E7" s="12" t="s">
        <v>250</v>
      </c>
    </row>
    <row r="8" ht="14.25" customHeight="1">
      <c r="A8" s="11" t="s">
        <v>251</v>
      </c>
      <c r="B8" s="12" t="s">
        <v>252</v>
      </c>
      <c r="C8" s="12" t="s">
        <v>253</v>
      </c>
      <c r="D8" s="12" t="s">
        <v>249</v>
      </c>
      <c r="E8" s="12" t="s">
        <v>254</v>
      </c>
    </row>
    <row r="9" ht="14.25" customHeight="1">
      <c r="A9" s="11" t="s">
        <v>255</v>
      </c>
      <c r="B9" s="12" t="s">
        <v>256</v>
      </c>
      <c r="C9" s="12" t="s">
        <v>257</v>
      </c>
      <c r="D9" s="12" t="s">
        <v>258</v>
      </c>
      <c r="E9" s="12" t="s">
        <v>259</v>
      </c>
    </row>
    <row r="10" ht="14.25" customHeight="1">
      <c r="A10" s="11" t="s">
        <v>212</v>
      </c>
      <c r="B10" s="12" t="s">
        <v>260</v>
      </c>
      <c r="C10" s="12" t="s">
        <v>261</v>
      </c>
      <c r="D10" s="12" t="s">
        <v>262</v>
      </c>
      <c r="E10" s="12" t="s">
        <v>263</v>
      </c>
    </row>
    <row r="11" ht="14.25" customHeight="1"/>
    <row r="12" ht="14.25" customHeight="1">
      <c r="A12" s="45"/>
      <c r="B12" s="45"/>
      <c r="C12" s="45"/>
      <c r="D12" s="45"/>
      <c r="E12" s="4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2026-09-07T02:39:08Z</dcterms:created>
  <dc:creator>openpyxl</dc:creator>
</cp:coreProperties>
</file>