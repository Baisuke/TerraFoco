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print 0" sheetId="2" state="visible" r:id="rId4"/>
    <sheet name="Sprint 1" sheetId="3" state="visible" r:id="rId5"/>
    <sheet name="Sprint 2" sheetId="4" state="visible" r:id="rId6"/>
    <sheet name="Sprint 3" sheetId="5" state="visible" r:id="rId7"/>
    <sheet name="Sprint 4" sheetId="6" state="visible" r:id="rId8"/>
    <sheet name="Burndown Sprint 1" sheetId="7" state="visible" r:id="rId9"/>
    <sheet name="Impediment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<sst xmlns="http://schemas.openxmlformats.org/spreadsheetml/2006/main" count="388" uniqueCount="233">
  <si>
    <t xml:space="preserve">Sprint Backlog — Resumen de sprints</t>
  </si>
  <si>
    <t xml:space="preserve">Sprints de 3 semanas; semana 1 = 10-08-2026. Defensa: martes 24-11-2026.</t>
  </si>
  <si>
    <t xml:space="preserve">Sprint</t>
  </si>
  <si>
    <t xml:space="preserve">Inicio</t>
  </si>
  <si>
    <t xml:space="preserve">Fin</t>
  </si>
  <si>
    <t xml:space="preserve">Estado</t>
  </si>
  <si>
    <t xml:space="preserve">Comprometido (pts)</t>
  </si>
  <si>
    <t xml:space="preserve">Terminado (pts)</t>
  </si>
  <si>
    <t xml:space="preserve">Objetivo</t>
  </si>
  <si>
    <t xml:space="preserve">Sprint 0</t>
  </si>
  <si>
    <t xml:space="preserve">10-08-2026</t>
  </si>
  <si>
    <t xml:space="preserve">28-08-2026</t>
  </si>
  <si>
    <t xml:space="preserve">Cerrado</t>
  </si>
  <si>
    <t xml:space="preserve">Dejar el terreno donde vivirá la lógica de negocio: una comuna real en un mapa, servida por la API desde PostGIS</t>
  </si>
  <si>
    <t xml:space="preserve">Sprint 1</t>
  </si>
  <si>
    <t xml:space="preserve">31-08-2026</t>
  </si>
  <si>
    <t xml:space="preserve">18-09-2026</t>
  </si>
  <si>
    <t xml:space="preserve">Que el índice de pertinencia exista y se pueda ver: pérdida de suelo para las 33 comunas, cruzada con la ejecución y en un mapa</t>
  </si>
  <si>
    <t xml:space="preserve">Sprint 2</t>
  </si>
  <si>
    <t xml:space="preserve">21-09-2026</t>
  </si>
  <si>
    <t xml:space="preserve">09-10-2026</t>
  </si>
  <si>
    <t xml:space="preserve">En curso (corte 05-10)</t>
  </si>
  <si>
    <t xml:space="preserve">Que el índice use la inversión histórica real del SIRSD-S y que los módulos 2 y 3 trabajen con datos reales</t>
  </si>
  <si>
    <t xml:space="preserve">Sprint 3</t>
  </si>
  <si>
    <t xml:space="preserve">12-10-2026</t>
  </si>
  <si>
    <t xml:space="preserve">30-10-2026</t>
  </si>
  <si>
    <t xml:space="preserve">Propuesta (planning 12-10)</t>
  </si>
  <si>
    <t xml:space="preserve">Que TerraFoco esté probado y validado por personas externas, accesible por URL pública</t>
  </si>
  <si>
    <t xml:space="preserve">Sprint 4</t>
  </si>
  <si>
    <t xml:space="preserve">02-11-2026</t>
  </si>
  <si>
    <t xml:space="preserve">20-11-2026</t>
  </si>
  <si>
    <t xml:space="preserve">Planificado</t>
  </si>
  <si>
    <t xml:space="preserve">Cierre: trazabilidad CRISP-DM, repositorio oficial, README e informe final</t>
  </si>
  <si>
    <t xml:space="preserve">Sprint 0 — Sprint Backlog</t>
  </si>
  <si>
    <t xml:space="preserve">10-08-2026 al 28-08-2026 · Cerrado</t>
  </si>
  <si>
    <t xml:space="preserve">Objetivo: Dejar el terreno donde vivirá la lógica de negocio: una comuna real en un mapa, servida por la API desde PostGIS</t>
  </si>
  <si>
    <t xml:space="preserve">ID</t>
  </si>
  <si>
    <t xml:space="preserve">Historia</t>
  </si>
  <si>
    <t xml:space="preserve">Pts</t>
  </si>
  <si>
    <t xml:space="preserve">Seguimiento</t>
  </si>
  <si>
    <t xml:space="preserve">Origen en el sprint</t>
  </si>
  <si>
    <t xml:space="preserve">Evidencia / criterio de cierre</t>
  </si>
  <si>
    <t xml:space="preserve">HU-01</t>
  </si>
  <si>
    <t xml:space="preserve">Modelo de datos espacial en PostGIS con versionado temporal</t>
  </si>
  <si>
    <t xml:space="preserve">Bastián Cárcamo</t>
  </si>
  <si>
    <t xml:space="preserve">Comprometida</t>
  </si>
  <si>
    <t xml:space="preserve">Terminada</t>
  </si>
  <si>
    <t xml:space="preserve">bd/esquema.sql y 19 migraciones numeradas en bd/migraciones/</t>
  </si>
  <si>
    <t xml:space="preserve">HU-02</t>
  </si>
  <si>
    <t xml:space="preserve">Descarga automática de imágenes Sentinel-2</t>
  </si>
  <si>
    <t xml:space="preserve">motor/ingesta/sentinel.py (composición mensual sin nubes)</t>
  </si>
  <si>
    <t xml:space="preserve">HU-03</t>
  </si>
  <si>
    <t xml:space="preserve">Descarga del modelo de elevación SRTM</t>
  </si>
  <si>
    <t xml:space="preserve">motor/ingesta/srtm.py</t>
  </si>
  <si>
    <t xml:space="preserve">HU-29</t>
  </si>
  <si>
    <t xml:space="preserve">Pruebas automatizadas de los cálculos de indicadores</t>
  </si>
  <si>
    <t xml:space="preserve">Carla Morales</t>
  </si>
  <si>
    <t xml:space="preserve">motor/tests y api/tests: 312 pasan, 50 omitidas (requieren base de datos) al 05-10</t>
  </si>
  <si>
    <t xml:space="preserve">Comprometido en la planificación</t>
  </si>
  <si>
    <t xml:space="preserve">Terminado</t>
  </si>
  <si>
    <t xml:space="preserve">Sprint 1 — Sprint Backlog</t>
  </si>
  <si>
    <t xml:space="preserve">31-08-2026 al 18-09-2026 · Cerrado</t>
  </si>
  <si>
    <t xml:space="preserve">Objetivo: Que el índice de pertinencia exista y se pueda ver: pérdida de suelo para las 33 comunas, cruzada con la ejecución y en un mapa</t>
  </si>
  <si>
    <t xml:space="preserve">HU-04</t>
  </si>
  <si>
    <t xml:space="preserve">Reproyección y recorte automáticos de los insumos</t>
  </si>
  <si>
    <t xml:space="preserve">motor/ingesta/zonal.py; test_zonal.py (rechaza rásteres en grados)</t>
  </si>
  <si>
    <t xml:space="preserve">HU-05</t>
  </si>
  <si>
    <t xml:space="preserve">Consulta de la bitácora de ejecuciones</t>
  </si>
  <si>
    <t xml:space="preserve">motor/estado.py, operacion.ejecucion_proceso; migración 005</t>
  </si>
  <si>
    <t xml:space="preserve">HU-06</t>
  </si>
  <si>
    <t xml:space="preserve">Consolidación de la ejecución del SIRSD-S por comuna</t>
  </si>
  <si>
    <t xml:space="preserve">motor/ingesta/sirsd_ide.py; test_sirsd.py; tabla de rechazos</t>
  </si>
  <si>
    <t xml:space="preserve">HU-09</t>
  </si>
  <si>
    <t xml:space="preserve">Cálculo del NDVI desde Sentinel-2 para el factor C</t>
  </si>
  <si>
    <t xml:space="preserve">motor/ingesta/sentinel.py; test_factores.py</t>
  </si>
  <si>
    <t xml:space="preserve">HU-10</t>
  </si>
  <si>
    <t xml:space="preserve">Pendiente y longitud desde el SRTM para el factor LS</t>
  </si>
  <si>
    <t xml:space="preserve">motor/indicadores/terreno.py; test_terreno.py</t>
  </si>
  <si>
    <t xml:space="preserve">HU-11</t>
  </si>
  <si>
    <t xml:space="preserve">Erosión estimada por comuna aplicando RUSLE (5 factores)</t>
  </si>
  <si>
    <t xml:space="preserve">Bastián Cárcamo y Antonio Lankin</t>
  </si>
  <si>
    <t xml:space="preserve">motor/indicadores/rusle.py, motor/calcular.py; test_rusle.py</t>
  </si>
  <si>
    <t xml:space="preserve">HU-12</t>
  </si>
  <si>
    <t xml:space="preserve">Comparación con la línea base de CIREN y dominio de validez</t>
  </si>
  <si>
    <t xml:space="preserve">motor/ingesta/ciren.py, motor/validar.py; migraciones 003 y 004 (en_dominio)</t>
  </si>
  <si>
    <t xml:space="preserve">HU-13</t>
  </si>
  <si>
    <t xml:space="preserve">Índice de pertinencia territorial (erosión vs. inversión)</t>
  </si>
  <si>
    <t xml:space="preserve">Antonio Lankin</t>
  </si>
  <si>
    <t xml:space="preserve">api/rutas/pertinencia.py; migraciones 001, 004 y 013</t>
  </si>
  <si>
    <t xml:space="preserve">HU-14</t>
  </si>
  <si>
    <t xml:space="preserve">Ranking comunal ordenado por brecha</t>
  </si>
  <si>
    <t xml:space="preserve">api/rutas/pertinencia.py; prototipo/pertinencia.html</t>
  </si>
  <si>
    <t xml:space="preserve">HU-20</t>
  </si>
  <si>
    <t xml:space="preserve">Mapa de comunas coloreado según el indicador</t>
  </si>
  <si>
    <t xml:space="preserve">prototipo/visor.html, js/mapa-real.js</t>
  </si>
  <si>
    <t xml:space="preserve">HU-21</t>
  </si>
  <si>
    <t xml:space="preserve">Panel para cambiar la capa temática</t>
  </si>
  <si>
    <t xml:space="preserve">prototipo/js/shell.js</t>
  </si>
  <si>
    <t xml:space="preserve">HU-22</t>
  </si>
  <si>
    <t xml:space="preserve">Ficha de detalle de una comuna</t>
  </si>
  <si>
    <t xml:space="preserve">prototipo/comuna.html, js/detalle-comuna.js</t>
  </si>
  <si>
    <t xml:space="preserve">Sprint 2 — Sprint Backlog</t>
  </si>
  <si>
    <t xml:space="preserve">21-09-2026 al 09-10-2026 · En curso (corte 05-10)</t>
  </si>
  <si>
    <t xml:space="preserve">Objetivo: Que el índice use la inversión histórica real del SIRSD-S y que los módulos 2 y 3 trabajen con datos reales</t>
  </si>
  <si>
    <t xml:space="preserve">HU-07</t>
  </si>
  <si>
    <t xml:space="preserve">Validación de los montos de ejecución contra una fuente oficial</t>
  </si>
  <si>
    <t xml:space="preserve">Redefinida: se validó contra la entrega oficial de INDAP (30.313 planes) en vez de ODEPA. 423/425 celdas coinciden; diferencia de incentivo 0,002 %. docs/17-serie-sirsd.md, herramientas/agregar_entrega_indap.py</t>
  </si>
  <si>
    <t xml:space="preserve">HU-08</t>
  </si>
  <si>
    <t xml:space="preserve">Gestión con INDAP de la serie histórica del SIRSD-S</t>
  </si>
  <si>
    <t xml:space="preserve">Serie 2012–2025 obtenida y cargada: bd/semillas/sirsd_serie_definitiva_2012_2025.csv; docs/11 y docs/17</t>
  </si>
  <si>
    <t xml:space="preserve">HU-15</t>
  </si>
  <si>
    <t xml:space="preserve">Acumulación de flujo y distancia a cauces desde el DEM</t>
  </si>
  <si>
    <t xml:space="preserve">motor/ingesta/hidrologia.py, cauces.py; test_hidrologia.py, test_cauces.py</t>
  </si>
  <si>
    <t xml:space="preserve">HU-28</t>
  </si>
  <si>
    <t xml:space="preserve">Plan de pruebas con casos definidos</t>
  </si>
  <si>
    <t xml:space="preserve">No terminada → Sprint 3</t>
  </si>
  <si>
    <t xml:space="preserve">No existe documento. Hay 312 pruebas automatizadas, pero no el plan que las organiza</t>
  </si>
  <si>
    <t xml:space="preserve">HU-16</t>
  </si>
  <si>
    <t xml:space="preserve">Índice de susceptibilidad a inundación por comuna</t>
  </si>
  <si>
    <t xml:space="preserve">Adelantada</t>
  </si>
  <si>
    <t xml:space="preserve">motor/indicadores/inundacion.py (33/33 comunas); migraciones 007–011</t>
  </si>
  <si>
    <t xml:space="preserve">HU-17</t>
  </si>
  <si>
    <t xml:space="preserve">Contraste del índice con eventos históricos</t>
  </si>
  <si>
    <t xml:space="preserve">DesInventar en vez de SENAPRED; recalibración con evidencia (Spearman de −0,16 a +0,36/+0,41). docs/13-modulo-inundaciones.md</t>
  </si>
  <si>
    <t xml:space="preserve">HU-18</t>
  </si>
  <si>
    <t xml:space="preserve">Temperatura superficial urbana</t>
  </si>
  <si>
    <t xml:space="preserve">ECOSTRESS en vez de Landsat: motor/ingesta/ecostress.py; migración 006; test_ecostress.py</t>
  </si>
  <si>
    <t xml:space="preserve">HU-19</t>
  </si>
  <si>
    <t xml:space="preserve">Déficit de áreas verdes por habitante</t>
  </si>
  <si>
    <t xml:space="preserve">Por zona censal (Censo 2024 + OSM, estándar SIEDU): motor/indicadores/area_verde.py; migración 014; docs/18</t>
  </si>
  <si>
    <t xml:space="preserve">HU-23</t>
  </si>
  <si>
    <t xml:space="preserve">Exportación de un reporte de la región</t>
  </si>
  <si>
    <t xml:space="preserve">Exportar CSV según la pantalla (UC-04) y zonas en KML/GeoJSON: js/shell.js, js/zonas.js</t>
  </si>
  <si>
    <t xml:space="preserve">HU-32</t>
  </si>
  <si>
    <t xml:space="preserve">Catálogo de fuentes administrable y conectado a la bitácora</t>
  </si>
  <si>
    <t xml:space="preserve">Emergente</t>
  </si>
  <si>
    <t xml:space="preserve">api/rutas/fuentes.py; migraciones 012 y 017; test_fuentes.py (UC-10, UC-12)</t>
  </si>
  <si>
    <t xml:space="preserve">HU-33</t>
  </si>
  <si>
    <t xml:space="preserve">Clave de administración para las escrituras de la API</t>
  </si>
  <si>
    <t xml:space="preserve">api/seguridad.py; test_seguridad.py (RF-31, RNF-19)</t>
  </si>
  <si>
    <t xml:space="preserve">HU-34</t>
  </si>
  <si>
    <t xml:space="preserve">Serie SIRSD-S 2012–2025 en UF e inversión por hectárea erosionada</t>
  </si>
  <si>
    <t xml:space="preserve">motor/ingesta/sirsd_serie.py; indicadores/superficie_erosionada.py; migración 013</t>
  </si>
  <si>
    <t xml:space="preserve">HU-35</t>
  </si>
  <si>
    <t xml:space="preserve">Evolución de la focalización 2012–2025 y brecha en UF</t>
  </si>
  <si>
    <t xml:space="preserve">api/focalizacion.py; test_focalizacion.py</t>
  </si>
  <si>
    <t xml:space="preserve">HU-36</t>
  </si>
  <si>
    <t xml:space="preserve">Detalle a 30 m en teselas, relieve sombreado y vista 3D</t>
  </si>
  <si>
    <t xml:space="preserve">motor/teselas.py (PMTiles), js/modelo3d.js; test_teselas.py</t>
  </si>
  <si>
    <t xml:space="preserve">HU-37</t>
  </si>
  <si>
    <t xml:space="preserve">Exposición a inundación: población, servicios críticos y suelo agrícola</t>
  </si>
  <si>
    <t xml:space="preserve">api/rutas/exposicion.py; migraciones 016 y 019; test_exposicion.py</t>
  </si>
  <si>
    <t xml:space="preserve">HU-39</t>
  </si>
  <si>
    <t xml:space="preserve">Demo sin servidor: Codespaces y copia portable</t>
  </si>
  <si>
    <t xml:space="preserve">docs/12; herramientas/empaquetar_portable.py, lanzador_portable.py</t>
  </si>
  <si>
    <t xml:space="preserve">HU-40</t>
  </si>
  <si>
    <t xml:space="preserve">Modo INDAP y «Mis predios» (evaluar predios desde un CSV)</t>
  </si>
  <si>
    <t xml:space="preserve">prototipo/predios.html, js/predios.js</t>
  </si>
  <si>
    <t xml:space="preserve">Los 47 pts emergentes se estimaron a posteriori (05-10). HU-07 redefinida: validación contra la entrega oficial de INDAP.</t>
  </si>
  <si>
    <t xml:space="preserve">Sprint 3 — Sprint Backlog</t>
  </si>
  <si>
    <t xml:space="preserve">12-10-2026 al 30-10-2026 · Propuesta (planning 12-10)</t>
  </si>
  <si>
    <t xml:space="preserve">Objetivo: Que TerraFoco esté probado y validado por personas externas, accesible por URL pública</t>
  </si>
  <si>
    <t xml:space="preserve">Arrastrada del Sprint 2</t>
  </si>
  <si>
    <t xml:space="preserve">No iniciada</t>
  </si>
  <si>
    <t xml:space="preserve">HU-43</t>
  </si>
  <si>
    <t xml:space="preserve">Integración continua: pruebas en cada push</t>
  </si>
  <si>
    <t xml:space="preserve">No hay .github/workflows. Era la tarea 8 del Sprint 0 (docs/07)</t>
  </si>
  <si>
    <t xml:space="preserve">HU-38</t>
  </si>
  <si>
    <t xml:space="preserve">Despliegue en un servidor público</t>
  </si>
  <si>
    <t xml:space="preserve">En curso</t>
  </si>
  <si>
    <t xml:space="preserve">Hecho: despliegue/ (compose de producción, Caddy, scripts), docs/19. Falta: máquina y dominio publicados</t>
  </si>
  <si>
    <t xml:space="preserve">HU-30</t>
  </si>
  <si>
    <t xml:space="preserve">Prueba de usabilidad con la contraparte del piloto</t>
  </si>
  <si>
    <t xml:space="preserve">Plan listo en docs/16; rama carla/prueba-usabilidad creada sin commits</t>
  </si>
  <si>
    <t xml:space="preserve">HU-24</t>
  </si>
  <si>
    <t xml:space="preserve">Interfaz comprensible sin capacitación previa</t>
  </si>
  <si>
    <t xml:space="preserve">Hecho: ayuda.html con glosario, versión móvil, buscador. Falta: auditoría C2/C3 completa y sesión con usuarios (docs/16)</t>
  </si>
  <si>
    <t xml:space="preserve">Propuesta: se confirma en la Sprint Planning del lunes 12-10. Si sobra capacidad: defectos de la prueba de usabilidad → HU-31 → reincorporar E7 (decisión del PO).</t>
  </si>
  <si>
    <t xml:space="preserve">Sprint 4 — Sprint Backlog</t>
  </si>
  <si>
    <t xml:space="preserve">02-11-2026 al 20-11-2026 · Planificado</t>
  </si>
  <si>
    <t xml:space="preserve">Objetivo: Cierre: trazabilidad CRISP-DM, repositorio oficial, README e informe final</t>
  </si>
  <si>
    <t xml:space="preserve">HU-31</t>
  </si>
  <si>
    <t xml:space="preserve">Documentación del proceso analítico según CRISP-DM</t>
  </si>
  <si>
    <t xml:space="preserve">La correspondencia de fases está en docs/05 §3; falta el documento de trazabilidad</t>
  </si>
  <si>
    <t xml:space="preserve">HU-41</t>
  </si>
  <si>
    <t xml:space="preserve">Traspaso al repositorio oficial de entrega (APT122)</t>
  </si>
  <si>
    <t xml:space="preserve">herramientas/sincronizar.py y dividir_entrega.py listos; rama bastian/migracion-repo-oficial sin commits</t>
  </si>
  <si>
    <t xml:space="preserve">HU-42</t>
  </si>
  <si>
    <t xml:space="preserve">README de entrega y declaración del uso de IA</t>
  </si>
  <si>
    <t xml:space="preserve">Rama carla/readme-y-uso-de-ia sin commits</t>
  </si>
  <si>
    <t xml:space="preserve">Además: correcciones de la prueba de usabilidad (holgura) e informe final, presentación y ensayo (cierre 20-11). Defensa: martes 24-11.</t>
  </si>
  <si>
    <t xml:space="preserve">Sprint 1 — Burndown</t>
  </si>
  <si>
    <t xml:space="preserve">Puntos pendientes al cierre de cada semana. Semanas 4 y 5 reconstruidas el 07-09; confirmar con el equipo.</t>
  </si>
  <si>
    <t xml:space="preserve">Corte</t>
  </si>
  <si>
    <t xml:space="preserve">Fecha</t>
  </si>
  <si>
    <t xml:space="preserve">Ideal</t>
  </si>
  <si>
    <t xml:space="preserve">Real</t>
  </si>
  <si>
    <t xml:space="preserve">31-08</t>
  </si>
  <si>
    <t xml:space="preserve">Semana 4</t>
  </si>
  <si>
    <t xml:space="preserve">04-09</t>
  </si>
  <si>
    <t xml:space="preserve">Semana 5</t>
  </si>
  <si>
    <t xml:space="preserve">11-09</t>
  </si>
  <si>
    <t xml:space="preserve">Cierre</t>
  </si>
  <si>
    <t xml:space="preserve">18-09</t>
  </si>
  <si>
    <t xml:space="preserve">Registro de impedimentos</t>
  </si>
  <si>
    <t xml:space="preserve">#</t>
  </si>
  <si>
    <t xml:space="preserve">Impedimento</t>
  </si>
  <si>
    <t xml:space="preserve">Tipo</t>
  </si>
  <si>
    <t xml:space="preserve">Resolución</t>
  </si>
  <si>
    <t xml:space="preserve">Credenciales de NASA Earthdata y Copernicus fallaban a mitad de descargas largas</t>
  </si>
  <si>
    <t xml:space="preserve">Técnico</t>
  </si>
  <si>
    <t xml:space="preserve">credenciales.py --probar antes de cada descarga</t>
  </si>
  <si>
    <t xml:space="preserve">Instalar GDAL difería entre los tres equipos</t>
  </si>
  <si>
    <t xml:space="preserve">Entorno en contenedores Docker</t>
  </si>
  <si>
    <t xml:space="preserve">El SIRSD-S de IDE MINAGRI cubre un solo año</t>
  </si>
  <si>
    <t xml:space="preserve">Externo</t>
  </si>
  <si>
    <t xml:space="preserve">Gestión con INDAP; la serie 2012–2025 llegó en el Sprint 2</t>
  </si>
  <si>
    <t xml:space="preserve">La erosividad sobreestima en la precordillera</t>
  </si>
  <si>
    <t xml:space="preserve">Se declaró el dominio de validez: seis comunas con en_dominio = false</t>
  </si>
  <si>
    <t xml:space="preserve">Rásteres en grados daban un resultado equivocado sin error</t>
  </si>
  <si>
    <t xml:space="preserve">zonal rechaza rásteres en grados</t>
  </si>
  <si>
    <t xml:space="preserve">Landsat requería aprobación previa del USGS para descarga masiva</t>
  </si>
  <si>
    <t xml:space="preserve">Se usó ECOSTRESS (HU-18)</t>
  </si>
  <si>
    <t xml:space="preserve">La fuente prevista para eventos históricos (SENAPRED) no se usó; motivo a confirmar</t>
  </si>
  <si>
    <t xml:space="preserve">Se usó DesInventar (HU-17)</t>
  </si>
  <si>
    <t xml:space="preserve">El catastro de unidades vecinales no es público</t>
  </si>
  <si>
    <t xml:space="preserve">Zona censal del Censo 2024 (HU-19)</t>
  </si>
  <si>
    <t xml:space="preserve">El índice de inundación con pesos a priori correlacionaba al revés con los eventos (ρ = −0,16)</t>
  </si>
  <si>
    <t xml:space="preserve">Recalibración con evidencia: ρ entre +0,36 y +0,41</t>
  </si>
  <si>
    <t xml:space="preserve">La migración 012 rompió POST /fuentes (error 500)</t>
  </si>
  <si>
    <t xml:space="preserve">Corregido el mismo día (commit f10deed)</t>
  </si>
  <si>
    <t xml:space="preserve">El índice de pertinencia quedó en 0 de 33 comunas cuando faltaban los GeoTIFF</t>
  </si>
  <si>
    <t xml:space="preserve">Superficie erosionada desde los PNG y semilla en bd/semillas: 27 de 33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</si>
</sst>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3231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84745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17DE2"/>
        <bgColor rgb="FF0066CC"/>
      </patternFill>
    </fill>
    <fill>
      <patternFill patternType="solid">
        <fgColor rgb="FFF3F6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CC"/>
      </left>
      <right style="thin">
        <color rgb="FFC9CFCC"/>
      </right>
      <top style="thin">
        <color rgb="FFC9CFCC"/>
      </top>
      <bottom style="thin">
        <color rgb="FFC9CF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FCC"/>
      <rgbColor rgb="FF808080"/>
      <rgbColor rgb="FF9999FF"/>
      <rgbColor rgb="FF993366"/>
      <rgbColor rgb="FFF3F6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17DE2"/>
      <rgbColor rgb="FF33CCCC"/>
      <rgbColor rgb="FF99CC00"/>
      <rgbColor rgb="FFFFCC00"/>
      <rgbColor rgb="FFFF9900"/>
      <rgbColor rgb="FFFF6600"/>
      <rgbColor rgb="FF52514E"/>
      <rgbColor rgb="FF969696"/>
      <rgbColor rgb="FF003366"/>
      <rgbColor rgb="FF339966"/>
      <rgbColor rgb="FF003300"/>
      <rgbColor rgb="FF284745"/>
      <rgbColor rgb="FF993300"/>
      <rgbColor rgb="FF993366"/>
      <rgbColor rgb="FF333399"/>
      <rgbColor rgb="FF1C32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24120</xdr:rowOff>
    </xdr:from>
    <xdr:to>
      <xdr:col>4</xdr:col>
      <xdr:colOff>1104480</xdr:colOff>
      <xdr:row>26</xdr:row>
      <xdr:rowOff>166320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666880"/>
          <a:ext cx="5333760" cy="2999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24480</xdr:rowOff>
    </xdr:from>
    <xdr:to>
      <xdr:col>6</xdr:col>
      <xdr:colOff>41760</xdr:colOff>
      <xdr:row>46</xdr:row>
      <xdr:rowOff>128880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6286680"/>
          <a:ext cx="6667200" cy="3152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3.8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n">
        <f aca="false">'Sprint 0'!C11</f>
        <v>26</v>
      </c>
      <c r="F5" s="4" t="n">
        <f aca="false">'Sprint 0'!C12</f>
        <v>26</v>
      </c>
      <c r="G5" s="4" t="s">
        <v>13</v>
      </c>
    </row>
    <row r="6" customFormat="false" ht="23.85" hidden="false" customHeight="false" outlineLevel="0" collapsed="false">
      <c r="A6" s="5" t="s">
        <v>14</v>
      </c>
      <c r="B6" s="5" t="s">
        <v>15</v>
      </c>
      <c r="C6" s="5" t="s">
        <v>16</v>
      </c>
      <c r="D6" s="5" t="s">
        <v>12</v>
      </c>
      <c r="E6" s="5" t="n">
        <f aca="false">'Sprint 1'!C19</f>
        <v>73</v>
      </c>
      <c r="F6" s="5" t="n">
        <f aca="false">'Sprint 1'!C20</f>
        <v>73</v>
      </c>
      <c r="G6" s="5" t="s">
        <v>17</v>
      </c>
    </row>
    <row r="7" customFormat="false" ht="23.85" hidden="false" customHeight="false" outlineLevel="0" collapsed="false">
      <c r="A7" s="4" t="s">
        <v>18</v>
      </c>
      <c r="B7" s="4" t="s">
        <v>19</v>
      </c>
      <c r="C7" s="4" t="s">
        <v>20</v>
      </c>
      <c r="D7" s="4" t="s">
        <v>21</v>
      </c>
      <c r="E7" s="4" t="n">
        <f aca="false">'Sprint 2'!C24</f>
        <v>23</v>
      </c>
      <c r="F7" s="4" t="n">
        <f aca="false">'Sprint 2'!C25</f>
        <v>96</v>
      </c>
      <c r="G7" s="4" t="s">
        <v>22</v>
      </c>
    </row>
    <row r="8" customFormat="false" ht="15" hidden="false" customHeight="false" outlineLevel="0" collapsed="false">
      <c r="A8" s="5" t="s">
        <v>23</v>
      </c>
      <c r="B8" s="5" t="s">
        <v>24</v>
      </c>
      <c r="C8" s="5" t="s">
        <v>25</v>
      </c>
      <c r="D8" s="5" t="s">
        <v>26</v>
      </c>
      <c r="E8" s="5" t="n">
        <f aca="false">'Sprint 3'!C12</f>
        <v>21</v>
      </c>
      <c r="F8" s="5" t="n">
        <f aca="false">'Sprint 3'!C13</f>
        <v>0</v>
      </c>
      <c r="G8" s="5" t="s">
        <v>27</v>
      </c>
    </row>
    <row r="9" customFormat="false" ht="15" hidden="false" customHeight="false" outlineLevel="0" collapsed="false">
      <c r="A9" s="4" t="s">
        <v>28</v>
      </c>
      <c r="B9" s="4" t="s">
        <v>29</v>
      </c>
      <c r="C9" s="4" t="s">
        <v>30</v>
      </c>
      <c r="D9" s="4" t="s">
        <v>31</v>
      </c>
      <c r="E9" s="4" t="n">
        <f aca="false">'Sprint 4'!C10</f>
        <v>8</v>
      </c>
      <c r="F9" s="4" t="n">
        <f aca="false">'Sprint 4'!C11</f>
        <v>0</v>
      </c>
      <c r="G9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9.7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30" hidden="false" customHeight="true" outlineLevel="0" collapsed="false">
      <c r="A3" s="6" t="s">
        <v>35</v>
      </c>
      <c r="B3" s="6"/>
      <c r="C3" s="6"/>
      <c r="D3" s="6"/>
      <c r="E3" s="6"/>
      <c r="F3" s="6"/>
      <c r="G3" s="6"/>
      <c r="H3" s="6"/>
    </row>
    <row r="5" customFormat="false" ht="15" hidden="false" customHeight="false" outlineLevel="0" collapsed="false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5</v>
      </c>
      <c r="G5" s="3" t="s">
        <v>41</v>
      </c>
    </row>
    <row r="6" customFormat="false" ht="23.85" hidden="false" customHeight="false" outlineLevel="0" collapsed="false">
      <c r="A6" s="4" t="s">
        <v>42</v>
      </c>
      <c r="B6" s="4" t="s">
        <v>43</v>
      </c>
      <c r="C6" s="4" t="n">
        <v>8</v>
      </c>
      <c r="D6" s="4" t="s">
        <v>44</v>
      </c>
      <c r="E6" s="4" t="s">
        <v>45</v>
      </c>
      <c r="F6" s="4" t="s">
        <v>46</v>
      </c>
      <c r="G6" s="4" t="s">
        <v>47</v>
      </c>
    </row>
    <row r="7" customFormat="false" ht="15" hidden="false" customHeight="false" outlineLevel="0" collapsed="false">
      <c r="A7" s="5" t="s">
        <v>48</v>
      </c>
      <c r="B7" s="5" t="s">
        <v>49</v>
      </c>
      <c r="C7" s="5" t="n">
        <v>8</v>
      </c>
      <c r="D7" s="5" t="s">
        <v>44</v>
      </c>
      <c r="E7" s="5" t="s">
        <v>45</v>
      </c>
      <c r="F7" s="5" t="s">
        <v>46</v>
      </c>
      <c r="G7" s="5" t="s">
        <v>50</v>
      </c>
    </row>
    <row r="8" customFormat="false" ht="15" hidden="false" customHeight="false" outlineLevel="0" collapsed="false">
      <c r="A8" s="4" t="s">
        <v>51</v>
      </c>
      <c r="B8" s="4" t="s">
        <v>52</v>
      </c>
      <c r="C8" s="4" t="n">
        <v>5</v>
      </c>
      <c r="D8" s="4" t="s">
        <v>44</v>
      </c>
      <c r="E8" s="4" t="s">
        <v>45</v>
      </c>
      <c r="F8" s="4" t="s">
        <v>46</v>
      </c>
      <c r="G8" s="4" t="s">
        <v>53</v>
      </c>
    </row>
    <row r="9" customFormat="false" ht="15" hidden="false" customHeight="false" outlineLevel="0" collapsed="false">
      <c r="A9" s="5" t="s">
        <v>54</v>
      </c>
      <c r="B9" s="5" t="s">
        <v>55</v>
      </c>
      <c r="C9" s="5" t="n">
        <v>5</v>
      </c>
      <c r="D9" s="5" t="s">
        <v>56</v>
      </c>
      <c r="E9" s="5" t="s">
        <v>45</v>
      </c>
      <c r="F9" s="5" t="s">
        <v>46</v>
      </c>
      <c r="G9" s="5" t="s">
        <v>57</v>
      </c>
    </row>
    <row r="11" customFormat="false" ht="15" hidden="false" customHeight="false" outlineLevel="0" collapsed="false">
      <c r="A11" s="4"/>
      <c r="B11" s="7" t="s">
        <v>58</v>
      </c>
      <c r="C11" s="7" t="n">
        <f aca="false">SUMIF(E6:E9,"Comprometida",C6:C9)+SUMIF(E6:E9,"Arrastrada del Sprint 2",C6:C9)</f>
        <v>26</v>
      </c>
      <c r="D11" s="4"/>
      <c r="E11" s="4"/>
      <c r="F11" s="4"/>
      <c r="G11" s="4"/>
    </row>
    <row r="12" customFormat="false" ht="15" hidden="false" customHeight="false" outlineLevel="0" collapsed="false">
      <c r="A12" s="4"/>
      <c r="B12" s="7" t="s">
        <v>59</v>
      </c>
      <c r="C12" s="7" t="n">
        <f aca="false">SUMIF(F6:F9,"Terminada",C6:C9)</f>
        <v>26</v>
      </c>
      <c r="D12" s="4"/>
      <c r="E12" s="4"/>
      <c r="F12" s="4"/>
      <c r="G12" s="4"/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9.7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3" customFormat="false" ht="30" hidden="false" customHeight="true" outlineLevel="0" collapsed="false">
      <c r="A3" s="6" t="s">
        <v>62</v>
      </c>
      <c r="B3" s="6"/>
      <c r="C3" s="6"/>
      <c r="D3" s="6"/>
      <c r="E3" s="6"/>
      <c r="F3" s="6"/>
      <c r="G3" s="6"/>
      <c r="H3" s="6"/>
    </row>
    <row r="5" customFormat="false" ht="15" hidden="false" customHeight="false" outlineLevel="0" collapsed="false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5</v>
      </c>
      <c r="G5" s="3" t="s">
        <v>41</v>
      </c>
    </row>
    <row r="6" customFormat="false" ht="15" hidden="false" customHeight="false" outlineLevel="0" collapsed="false">
      <c r="A6" s="4" t="s">
        <v>63</v>
      </c>
      <c r="B6" s="4" t="s">
        <v>64</v>
      </c>
      <c r="C6" s="4" t="n">
        <v>8</v>
      </c>
      <c r="D6" s="4" t="s">
        <v>44</v>
      </c>
      <c r="E6" s="4" t="s">
        <v>45</v>
      </c>
      <c r="F6" s="4" t="s">
        <v>46</v>
      </c>
      <c r="G6" s="4" t="s">
        <v>65</v>
      </c>
    </row>
    <row r="7" customFormat="false" ht="15" hidden="false" customHeight="false" outlineLevel="0" collapsed="false">
      <c r="A7" s="5" t="s">
        <v>66</v>
      </c>
      <c r="B7" s="5" t="s">
        <v>67</v>
      </c>
      <c r="C7" s="5" t="n">
        <v>5</v>
      </c>
      <c r="D7" s="5" t="s">
        <v>56</v>
      </c>
      <c r="E7" s="5" t="s">
        <v>45</v>
      </c>
      <c r="F7" s="5" t="s">
        <v>46</v>
      </c>
      <c r="G7" s="5" t="s">
        <v>68</v>
      </c>
    </row>
    <row r="8" customFormat="false" ht="15" hidden="false" customHeight="false" outlineLevel="0" collapsed="false">
      <c r="A8" s="4" t="s">
        <v>69</v>
      </c>
      <c r="B8" s="4" t="s">
        <v>70</v>
      </c>
      <c r="C8" s="4" t="n">
        <v>8</v>
      </c>
      <c r="D8" s="4" t="s">
        <v>56</v>
      </c>
      <c r="E8" s="4" t="s">
        <v>45</v>
      </c>
      <c r="F8" s="4" t="s">
        <v>46</v>
      </c>
      <c r="G8" s="4" t="s">
        <v>71</v>
      </c>
    </row>
    <row r="9" customFormat="false" ht="15" hidden="false" customHeight="false" outlineLevel="0" collapsed="false">
      <c r="A9" s="5" t="s">
        <v>72</v>
      </c>
      <c r="B9" s="5" t="s">
        <v>73</v>
      </c>
      <c r="C9" s="5" t="n">
        <v>5</v>
      </c>
      <c r="D9" s="5" t="s">
        <v>44</v>
      </c>
      <c r="E9" s="5" t="s">
        <v>45</v>
      </c>
      <c r="F9" s="5" t="s">
        <v>46</v>
      </c>
      <c r="G9" s="5" t="s">
        <v>74</v>
      </c>
    </row>
    <row r="10" customFormat="false" ht="15" hidden="false" customHeight="false" outlineLevel="0" collapsed="false">
      <c r="A10" s="4" t="s">
        <v>75</v>
      </c>
      <c r="B10" s="4" t="s">
        <v>76</v>
      </c>
      <c r="C10" s="4" t="n">
        <v>5</v>
      </c>
      <c r="D10" s="4" t="s">
        <v>44</v>
      </c>
      <c r="E10" s="4" t="s">
        <v>45</v>
      </c>
      <c r="F10" s="4" t="s">
        <v>46</v>
      </c>
      <c r="G10" s="4" t="s">
        <v>77</v>
      </c>
    </row>
    <row r="11" customFormat="false" ht="23.85" hidden="false" customHeight="false" outlineLevel="0" collapsed="false">
      <c r="A11" s="5" t="s">
        <v>78</v>
      </c>
      <c r="B11" s="5" t="s">
        <v>79</v>
      </c>
      <c r="C11" s="5" t="n">
        <v>8</v>
      </c>
      <c r="D11" s="5" t="s">
        <v>80</v>
      </c>
      <c r="E11" s="5" t="s">
        <v>45</v>
      </c>
      <c r="F11" s="5" t="s">
        <v>46</v>
      </c>
      <c r="G11" s="5" t="s">
        <v>81</v>
      </c>
    </row>
    <row r="12" customFormat="false" ht="23.85" hidden="false" customHeight="false" outlineLevel="0" collapsed="false">
      <c r="A12" s="4" t="s">
        <v>82</v>
      </c>
      <c r="B12" s="4" t="s">
        <v>83</v>
      </c>
      <c r="C12" s="4" t="n">
        <v>5</v>
      </c>
      <c r="D12" s="4" t="s">
        <v>44</v>
      </c>
      <c r="E12" s="4" t="s">
        <v>45</v>
      </c>
      <c r="F12" s="4" t="s">
        <v>46</v>
      </c>
      <c r="G12" s="4" t="s">
        <v>84</v>
      </c>
    </row>
    <row r="13" customFormat="false" ht="15" hidden="false" customHeight="false" outlineLevel="0" collapsed="false">
      <c r="A13" s="5" t="s">
        <v>85</v>
      </c>
      <c r="B13" s="5" t="s">
        <v>86</v>
      </c>
      <c r="C13" s="5" t="n">
        <v>8</v>
      </c>
      <c r="D13" s="5" t="s">
        <v>87</v>
      </c>
      <c r="E13" s="5" t="s">
        <v>45</v>
      </c>
      <c r="F13" s="5" t="s">
        <v>46</v>
      </c>
      <c r="G13" s="5" t="s">
        <v>88</v>
      </c>
    </row>
    <row r="14" customFormat="false" ht="15" hidden="false" customHeight="false" outlineLevel="0" collapsed="false">
      <c r="A14" s="4" t="s">
        <v>89</v>
      </c>
      <c r="B14" s="4" t="s">
        <v>90</v>
      </c>
      <c r="C14" s="4" t="n">
        <v>3</v>
      </c>
      <c r="D14" s="4" t="s">
        <v>87</v>
      </c>
      <c r="E14" s="4" t="s">
        <v>45</v>
      </c>
      <c r="F14" s="4" t="s">
        <v>46</v>
      </c>
      <c r="G14" s="4" t="s">
        <v>91</v>
      </c>
    </row>
    <row r="15" customFormat="false" ht="15" hidden="false" customHeight="false" outlineLevel="0" collapsed="false">
      <c r="A15" s="5" t="s">
        <v>92</v>
      </c>
      <c r="B15" s="5" t="s">
        <v>93</v>
      </c>
      <c r="C15" s="5" t="n">
        <v>8</v>
      </c>
      <c r="D15" s="5" t="s">
        <v>87</v>
      </c>
      <c r="E15" s="5" t="s">
        <v>45</v>
      </c>
      <c r="F15" s="5" t="s">
        <v>46</v>
      </c>
      <c r="G15" s="5" t="s">
        <v>94</v>
      </c>
    </row>
    <row r="16" customFormat="false" ht="15" hidden="false" customHeight="false" outlineLevel="0" collapsed="false">
      <c r="A16" s="4" t="s">
        <v>95</v>
      </c>
      <c r="B16" s="4" t="s">
        <v>96</v>
      </c>
      <c r="C16" s="4" t="n">
        <v>5</v>
      </c>
      <c r="D16" s="4" t="s">
        <v>87</v>
      </c>
      <c r="E16" s="4" t="s">
        <v>45</v>
      </c>
      <c r="F16" s="4" t="s">
        <v>46</v>
      </c>
      <c r="G16" s="4" t="s">
        <v>97</v>
      </c>
    </row>
    <row r="17" customFormat="false" ht="15" hidden="false" customHeight="false" outlineLevel="0" collapsed="false">
      <c r="A17" s="5" t="s">
        <v>98</v>
      </c>
      <c r="B17" s="5" t="s">
        <v>99</v>
      </c>
      <c r="C17" s="5" t="n">
        <v>5</v>
      </c>
      <c r="D17" s="5" t="s">
        <v>87</v>
      </c>
      <c r="E17" s="5" t="s">
        <v>45</v>
      </c>
      <c r="F17" s="5" t="s">
        <v>46</v>
      </c>
      <c r="G17" s="5" t="s">
        <v>100</v>
      </c>
    </row>
    <row r="19" customFormat="false" ht="15" hidden="false" customHeight="false" outlineLevel="0" collapsed="false">
      <c r="A19" s="4"/>
      <c r="B19" s="7" t="s">
        <v>58</v>
      </c>
      <c r="C19" s="7" t="n">
        <f aca="false">SUMIF(E6:E17,"Comprometida",C6:C17)+SUMIF(E6:E17,"Arrastrada del Sprint 2",C6:C17)</f>
        <v>73</v>
      </c>
      <c r="D19" s="4"/>
      <c r="E19" s="4"/>
      <c r="F19" s="4"/>
      <c r="G19" s="4"/>
    </row>
    <row r="20" customFormat="false" ht="15" hidden="false" customHeight="false" outlineLevel="0" collapsed="false">
      <c r="A20" s="4"/>
      <c r="B20" s="7" t="s">
        <v>59</v>
      </c>
      <c r="C20" s="7" t="n">
        <f aca="false">SUMIF(F6:F17,"Terminada",C6:C17)</f>
        <v>73</v>
      </c>
      <c r="D20" s="4"/>
      <c r="E20" s="4"/>
      <c r="F20" s="4"/>
      <c r="G20" s="4"/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9.7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3" customFormat="false" ht="30" hidden="false" customHeight="true" outlineLevel="0" collapsed="false">
      <c r="A3" s="6" t="s">
        <v>103</v>
      </c>
      <c r="B3" s="6"/>
      <c r="C3" s="6"/>
      <c r="D3" s="6"/>
      <c r="E3" s="6"/>
      <c r="F3" s="6"/>
      <c r="G3" s="6"/>
      <c r="H3" s="6"/>
    </row>
    <row r="5" customFormat="false" ht="15" hidden="false" customHeight="false" outlineLevel="0" collapsed="false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5</v>
      </c>
      <c r="G5" s="3" t="s">
        <v>41</v>
      </c>
    </row>
    <row r="6" customFormat="false" ht="35.05" hidden="false" customHeight="false" outlineLevel="0" collapsed="false">
      <c r="A6" s="4" t="s">
        <v>104</v>
      </c>
      <c r="B6" s="4" t="s">
        <v>105</v>
      </c>
      <c r="C6" s="4" t="n">
        <v>5</v>
      </c>
      <c r="D6" s="4"/>
      <c r="E6" s="4" t="s">
        <v>45</v>
      </c>
      <c r="F6" s="4" t="s">
        <v>46</v>
      </c>
      <c r="G6" s="4" t="s">
        <v>106</v>
      </c>
    </row>
    <row r="7" customFormat="false" ht="23.85" hidden="false" customHeight="false" outlineLevel="0" collapsed="false">
      <c r="A7" s="5" t="s">
        <v>107</v>
      </c>
      <c r="B7" s="5" t="s">
        <v>108</v>
      </c>
      <c r="C7" s="5" t="n">
        <v>5</v>
      </c>
      <c r="D7" s="5"/>
      <c r="E7" s="5" t="s">
        <v>45</v>
      </c>
      <c r="F7" s="5" t="s">
        <v>46</v>
      </c>
      <c r="G7" s="5" t="s">
        <v>109</v>
      </c>
    </row>
    <row r="8" customFormat="false" ht="15" hidden="false" customHeight="false" outlineLevel="0" collapsed="false">
      <c r="A8" s="4" t="s">
        <v>110</v>
      </c>
      <c r="B8" s="4" t="s">
        <v>111</v>
      </c>
      <c r="C8" s="4" t="n">
        <v>8</v>
      </c>
      <c r="D8" s="4"/>
      <c r="E8" s="4" t="s">
        <v>45</v>
      </c>
      <c r="F8" s="4" t="s">
        <v>46</v>
      </c>
      <c r="G8" s="4" t="s">
        <v>112</v>
      </c>
    </row>
    <row r="9" customFormat="false" ht="23.85" hidden="false" customHeight="false" outlineLevel="0" collapsed="false">
      <c r="A9" s="5" t="s">
        <v>113</v>
      </c>
      <c r="B9" s="5" t="s">
        <v>114</v>
      </c>
      <c r="C9" s="5" t="n">
        <v>5</v>
      </c>
      <c r="D9" s="5" t="s">
        <v>56</v>
      </c>
      <c r="E9" s="5" t="s">
        <v>45</v>
      </c>
      <c r="F9" s="5" t="s">
        <v>115</v>
      </c>
      <c r="G9" s="5" t="s">
        <v>116</v>
      </c>
    </row>
    <row r="10" customFormat="false" ht="15" hidden="false" customHeight="false" outlineLevel="0" collapsed="false">
      <c r="A10" s="4" t="s">
        <v>117</v>
      </c>
      <c r="B10" s="4" t="s">
        <v>118</v>
      </c>
      <c r="C10" s="4" t="n">
        <v>5</v>
      </c>
      <c r="D10" s="4"/>
      <c r="E10" s="4" t="s">
        <v>119</v>
      </c>
      <c r="F10" s="4" t="s">
        <v>46</v>
      </c>
      <c r="G10" s="4" t="s">
        <v>120</v>
      </c>
    </row>
    <row r="11" customFormat="false" ht="23.85" hidden="false" customHeight="false" outlineLevel="0" collapsed="false">
      <c r="A11" s="5" t="s">
        <v>121</v>
      </c>
      <c r="B11" s="5" t="s">
        <v>122</v>
      </c>
      <c r="C11" s="5" t="n">
        <v>5</v>
      </c>
      <c r="D11" s="5"/>
      <c r="E11" s="5" t="s">
        <v>119</v>
      </c>
      <c r="F11" s="5" t="s">
        <v>46</v>
      </c>
      <c r="G11" s="5" t="s">
        <v>123</v>
      </c>
    </row>
    <row r="12" customFormat="false" ht="23.85" hidden="false" customHeight="false" outlineLevel="0" collapsed="false">
      <c r="A12" s="4" t="s">
        <v>124</v>
      </c>
      <c r="B12" s="4" t="s">
        <v>125</v>
      </c>
      <c r="C12" s="4" t="n">
        <v>8</v>
      </c>
      <c r="D12" s="4"/>
      <c r="E12" s="4" t="s">
        <v>119</v>
      </c>
      <c r="F12" s="4" t="s">
        <v>46</v>
      </c>
      <c r="G12" s="4" t="s">
        <v>126</v>
      </c>
    </row>
    <row r="13" customFormat="false" ht="23.85" hidden="false" customHeight="false" outlineLevel="0" collapsed="false">
      <c r="A13" s="5" t="s">
        <v>127</v>
      </c>
      <c r="B13" s="5" t="s">
        <v>128</v>
      </c>
      <c r="C13" s="5" t="n">
        <v>8</v>
      </c>
      <c r="D13" s="5"/>
      <c r="E13" s="5" t="s">
        <v>119</v>
      </c>
      <c r="F13" s="5" t="s">
        <v>46</v>
      </c>
      <c r="G13" s="5" t="s">
        <v>129</v>
      </c>
    </row>
    <row r="14" customFormat="false" ht="23.85" hidden="false" customHeight="false" outlineLevel="0" collapsed="false">
      <c r="A14" s="4" t="s">
        <v>130</v>
      </c>
      <c r="B14" s="4" t="s">
        <v>131</v>
      </c>
      <c r="C14" s="4" t="n">
        <v>5</v>
      </c>
      <c r="D14" s="4"/>
      <c r="E14" s="4" t="s">
        <v>119</v>
      </c>
      <c r="F14" s="4" t="s">
        <v>46</v>
      </c>
      <c r="G14" s="4" t="s">
        <v>132</v>
      </c>
    </row>
    <row r="15" customFormat="false" ht="23.85" hidden="false" customHeight="false" outlineLevel="0" collapsed="false">
      <c r="A15" s="5" t="s">
        <v>133</v>
      </c>
      <c r="B15" s="5" t="s">
        <v>134</v>
      </c>
      <c r="C15" s="5" t="n">
        <v>5</v>
      </c>
      <c r="D15" s="5"/>
      <c r="E15" s="5" t="s">
        <v>135</v>
      </c>
      <c r="F15" s="5" t="s">
        <v>46</v>
      </c>
      <c r="G15" s="5" t="s">
        <v>136</v>
      </c>
    </row>
    <row r="16" customFormat="false" ht="15" hidden="false" customHeight="false" outlineLevel="0" collapsed="false">
      <c r="A16" s="4" t="s">
        <v>137</v>
      </c>
      <c r="B16" s="4" t="s">
        <v>138</v>
      </c>
      <c r="C16" s="4" t="n">
        <v>3</v>
      </c>
      <c r="D16" s="4"/>
      <c r="E16" s="4" t="s">
        <v>135</v>
      </c>
      <c r="F16" s="4" t="s">
        <v>46</v>
      </c>
      <c r="G16" s="4" t="s">
        <v>139</v>
      </c>
    </row>
    <row r="17" customFormat="false" ht="23.85" hidden="false" customHeight="false" outlineLevel="0" collapsed="false">
      <c r="A17" s="5" t="s">
        <v>140</v>
      </c>
      <c r="B17" s="5" t="s">
        <v>141</v>
      </c>
      <c r="C17" s="5" t="n">
        <v>8</v>
      </c>
      <c r="D17" s="5"/>
      <c r="E17" s="5" t="s">
        <v>135</v>
      </c>
      <c r="F17" s="5" t="s">
        <v>46</v>
      </c>
      <c r="G17" s="5" t="s">
        <v>142</v>
      </c>
    </row>
    <row r="18" customFormat="false" ht="15" hidden="false" customHeight="false" outlineLevel="0" collapsed="false">
      <c r="A18" s="4" t="s">
        <v>143</v>
      </c>
      <c r="B18" s="4" t="s">
        <v>144</v>
      </c>
      <c r="C18" s="4" t="n">
        <v>5</v>
      </c>
      <c r="D18" s="4"/>
      <c r="E18" s="4" t="s">
        <v>135</v>
      </c>
      <c r="F18" s="4" t="s">
        <v>46</v>
      </c>
      <c r="G18" s="4" t="s">
        <v>145</v>
      </c>
    </row>
    <row r="19" customFormat="false" ht="15" hidden="false" customHeight="false" outlineLevel="0" collapsed="false">
      <c r="A19" s="5" t="s">
        <v>146</v>
      </c>
      <c r="B19" s="5" t="s">
        <v>147</v>
      </c>
      <c r="C19" s="5" t="n">
        <v>8</v>
      </c>
      <c r="D19" s="5"/>
      <c r="E19" s="5" t="s">
        <v>135</v>
      </c>
      <c r="F19" s="5" t="s">
        <v>46</v>
      </c>
      <c r="G19" s="5" t="s">
        <v>148</v>
      </c>
    </row>
    <row r="20" customFormat="false" ht="23.85" hidden="false" customHeight="false" outlineLevel="0" collapsed="false">
      <c r="A20" s="4" t="s">
        <v>149</v>
      </c>
      <c r="B20" s="4" t="s">
        <v>150</v>
      </c>
      <c r="C20" s="4" t="n">
        <v>8</v>
      </c>
      <c r="D20" s="4"/>
      <c r="E20" s="4" t="s">
        <v>135</v>
      </c>
      <c r="F20" s="4" t="s">
        <v>46</v>
      </c>
      <c r="G20" s="4" t="s">
        <v>151</v>
      </c>
    </row>
    <row r="21" customFormat="false" ht="15" hidden="false" customHeight="false" outlineLevel="0" collapsed="false">
      <c r="A21" s="5" t="s">
        <v>152</v>
      </c>
      <c r="B21" s="5" t="s">
        <v>153</v>
      </c>
      <c r="C21" s="5" t="n">
        <v>5</v>
      </c>
      <c r="D21" s="5"/>
      <c r="E21" s="5" t="s">
        <v>135</v>
      </c>
      <c r="F21" s="5" t="s">
        <v>46</v>
      </c>
      <c r="G21" s="5" t="s">
        <v>154</v>
      </c>
    </row>
    <row r="22" customFormat="false" ht="23.85" hidden="false" customHeight="false" outlineLevel="0" collapsed="false">
      <c r="A22" s="4" t="s">
        <v>155</v>
      </c>
      <c r="B22" s="4" t="s">
        <v>156</v>
      </c>
      <c r="C22" s="4" t="n">
        <v>5</v>
      </c>
      <c r="D22" s="4"/>
      <c r="E22" s="4" t="s">
        <v>135</v>
      </c>
      <c r="F22" s="4" t="s">
        <v>46</v>
      </c>
      <c r="G22" s="4" t="s">
        <v>157</v>
      </c>
    </row>
    <row r="24" customFormat="false" ht="15" hidden="false" customHeight="false" outlineLevel="0" collapsed="false">
      <c r="A24" s="4"/>
      <c r="B24" s="7" t="s">
        <v>58</v>
      </c>
      <c r="C24" s="7" t="n">
        <f aca="false">SUMIF(E6:E22,"Comprometida",C6:C22)+SUMIF(E6:E22,"Arrastrada del Sprint 2",C6:C22)</f>
        <v>23</v>
      </c>
      <c r="D24" s="4"/>
      <c r="E24" s="4"/>
      <c r="F24" s="4"/>
      <c r="G24" s="4"/>
    </row>
    <row r="25" customFormat="false" ht="15" hidden="false" customHeight="false" outlineLevel="0" collapsed="false">
      <c r="A25" s="4"/>
      <c r="B25" s="7" t="s">
        <v>59</v>
      </c>
      <c r="C25" s="7" t="n">
        <f aca="false">SUMIF(F6:F22,"Terminada",C6:C22)</f>
        <v>96</v>
      </c>
      <c r="D25" s="4"/>
      <c r="E25" s="4"/>
      <c r="F25" s="4"/>
      <c r="G25" s="4"/>
    </row>
    <row r="27" customFormat="false" ht="15" hidden="false" customHeight="false" outlineLevel="0" collapsed="false">
      <c r="A27" s="8" t="s">
        <v>158</v>
      </c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9.7" hidden="false" customHeight="false" outlineLevel="0" collapsed="false">
      <c r="A1" s="1" t="s">
        <v>159</v>
      </c>
    </row>
    <row r="2" customFormat="false" ht="15" hidden="false" customHeight="false" outlineLevel="0" collapsed="false">
      <c r="A2" s="2" t="s">
        <v>160</v>
      </c>
    </row>
    <row r="3" customFormat="false" ht="30" hidden="false" customHeight="true" outlineLevel="0" collapsed="false">
      <c r="A3" s="6" t="s">
        <v>161</v>
      </c>
      <c r="B3" s="6"/>
      <c r="C3" s="6"/>
      <c r="D3" s="6"/>
      <c r="E3" s="6"/>
      <c r="F3" s="6"/>
      <c r="G3" s="6"/>
      <c r="H3" s="6"/>
    </row>
    <row r="5" customFormat="false" ht="15" hidden="false" customHeight="false" outlineLevel="0" collapsed="false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5</v>
      </c>
      <c r="G5" s="3" t="s">
        <v>41</v>
      </c>
    </row>
    <row r="6" customFormat="false" ht="23.85" hidden="false" customHeight="false" outlineLevel="0" collapsed="false">
      <c r="A6" s="4" t="s">
        <v>113</v>
      </c>
      <c r="B6" s="4" t="s">
        <v>114</v>
      </c>
      <c r="C6" s="4" t="n">
        <v>5</v>
      </c>
      <c r="D6" s="4" t="s">
        <v>56</v>
      </c>
      <c r="E6" s="4" t="s">
        <v>162</v>
      </c>
      <c r="F6" s="4" t="s">
        <v>163</v>
      </c>
      <c r="G6" s="4" t="s">
        <v>116</v>
      </c>
    </row>
    <row r="7" customFormat="false" ht="15" hidden="false" customHeight="false" outlineLevel="0" collapsed="false">
      <c r="A7" s="5" t="s">
        <v>164</v>
      </c>
      <c r="B7" s="5" t="s">
        <v>165</v>
      </c>
      <c r="C7" s="5" t="n">
        <v>3</v>
      </c>
      <c r="D7" s="5" t="s">
        <v>44</v>
      </c>
      <c r="E7" s="5" t="s">
        <v>45</v>
      </c>
      <c r="F7" s="5" t="s">
        <v>163</v>
      </c>
      <c r="G7" s="5" t="s">
        <v>166</v>
      </c>
    </row>
    <row r="8" customFormat="false" ht="23.85" hidden="false" customHeight="false" outlineLevel="0" collapsed="false">
      <c r="A8" s="4" t="s">
        <v>167</v>
      </c>
      <c r="B8" s="4" t="s">
        <v>168</v>
      </c>
      <c r="C8" s="4" t="n">
        <v>5</v>
      </c>
      <c r="D8" s="4" t="s">
        <v>44</v>
      </c>
      <c r="E8" s="4" t="s">
        <v>45</v>
      </c>
      <c r="F8" s="4" t="s">
        <v>169</v>
      </c>
      <c r="G8" s="4" t="s">
        <v>170</v>
      </c>
    </row>
    <row r="9" customFormat="false" ht="15" hidden="false" customHeight="false" outlineLevel="0" collapsed="false">
      <c r="A9" s="5" t="s">
        <v>171</v>
      </c>
      <c r="B9" s="5" t="s">
        <v>172</v>
      </c>
      <c r="C9" s="5" t="n">
        <v>5</v>
      </c>
      <c r="D9" s="5" t="s">
        <v>56</v>
      </c>
      <c r="E9" s="5" t="s">
        <v>45</v>
      </c>
      <c r="F9" s="5" t="s">
        <v>163</v>
      </c>
      <c r="G9" s="5" t="s">
        <v>173</v>
      </c>
    </row>
    <row r="10" customFormat="false" ht="23.85" hidden="false" customHeight="false" outlineLevel="0" collapsed="false">
      <c r="A10" s="4" t="s">
        <v>174</v>
      </c>
      <c r="B10" s="4" t="s">
        <v>175</v>
      </c>
      <c r="C10" s="4" t="n">
        <v>3</v>
      </c>
      <c r="D10" s="4" t="s">
        <v>87</v>
      </c>
      <c r="E10" s="4" t="s">
        <v>45</v>
      </c>
      <c r="F10" s="4" t="s">
        <v>169</v>
      </c>
      <c r="G10" s="4" t="s">
        <v>176</v>
      </c>
    </row>
    <row r="12" customFormat="false" ht="15" hidden="false" customHeight="false" outlineLevel="0" collapsed="false">
      <c r="A12" s="4"/>
      <c r="B12" s="7" t="s">
        <v>58</v>
      </c>
      <c r="C12" s="7" t="n">
        <f aca="false">SUMIF(E6:E10,"Comprometida",C6:C10)+SUMIF(E6:E10,"Arrastrada del Sprint 2",C6:C10)</f>
        <v>21</v>
      </c>
      <c r="D12" s="4"/>
      <c r="E12" s="4"/>
      <c r="F12" s="4"/>
      <c r="G12" s="4"/>
    </row>
    <row r="13" customFormat="false" ht="15" hidden="false" customHeight="false" outlineLevel="0" collapsed="false">
      <c r="A13" s="4"/>
      <c r="B13" s="7" t="s">
        <v>59</v>
      </c>
      <c r="C13" s="7" t="n">
        <f aca="false">SUMIF(F6:F10,"Terminada",C6:C10)</f>
        <v>0</v>
      </c>
      <c r="D13" s="4"/>
      <c r="E13" s="4"/>
      <c r="F13" s="4"/>
      <c r="G13" s="4"/>
    </row>
    <row r="15" customFormat="false" ht="15" hidden="false" customHeight="false" outlineLevel="0" collapsed="false">
      <c r="A15" s="8" t="s">
        <v>177</v>
      </c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8"/>
    <col collapsed="false" customWidth="true" hidden="false" outlineLevel="0" max="3" min="3" style="0" width="6"/>
    <col collapsed="false" customWidth="true" hidden="false" outlineLevel="0" max="4" min="4" style="0" width="2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70"/>
  </cols>
  <sheetData>
    <row r="1" customFormat="false" ht="19.7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3" customFormat="false" ht="30" hidden="false" customHeight="true" outlineLevel="0" collapsed="false">
      <c r="A3" s="6" t="s">
        <v>180</v>
      </c>
      <c r="B3" s="6"/>
      <c r="C3" s="6"/>
      <c r="D3" s="6"/>
      <c r="E3" s="6"/>
      <c r="F3" s="6"/>
      <c r="G3" s="6"/>
      <c r="H3" s="6"/>
    </row>
    <row r="5" customFormat="false" ht="15" hidden="false" customHeight="false" outlineLevel="0" collapsed="false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5</v>
      </c>
      <c r="G5" s="3" t="s">
        <v>41</v>
      </c>
    </row>
    <row r="6" customFormat="false" ht="15" hidden="false" customHeight="false" outlineLevel="0" collapsed="false">
      <c r="A6" s="4" t="s">
        <v>181</v>
      </c>
      <c r="B6" s="4" t="s">
        <v>182</v>
      </c>
      <c r="C6" s="4" t="n">
        <v>3</v>
      </c>
      <c r="D6" s="4"/>
      <c r="E6" s="4" t="s">
        <v>45</v>
      </c>
      <c r="F6" s="4" t="s">
        <v>163</v>
      </c>
      <c r="G6" s="4" t="s">
        <v>183</v>
      </c>
    </row>
    <row r="7" customFormat="false" ht="23.85" hidden="false" customHeight="false" outlineLevel="0" collapsed="false">
      <c r="A7" s="5" t="s">
        <v>184</v>
      </c>
      <c r="B7" s="5" t="s">
        <v>185</v>
      </c>
      <c r="C7" s="5" t="n">
        <v>3</v>
      </c>
      <c r="D7" s="5"/>
      <c r="E7" s="5" t="s">
        <v>45</v>
      </c>
      <c r="F7" s="5" t="s">
        <v>163</v>
      </c>
      <c r="G7" s="5" t="s">
        <v>186</v>
      </c>
    </row>
    <row r="8" customFormat="false" ht="15" hidden="false" customHeight="false" outlineLevel="0" collapsed="false">
      <c r="A8" s="4" t="s">
        <v>187</v>
      </c>
      <c r="B8" s="4" t="s">
        <v>188</v>
      </c>
      <c r="C8" s="4" t="n">
        <v>2</v>
      </c>
      <c r="D8" s="4"/>
      <c r="E8" s="4" t="s">
        <v>45</v>
      </c>
      <c r="F8" s="4" t="s">
        <v>163</v>
      </c>
      <c r="G8" s="4" t="s">
        <v>189</v>
      </c>
    </row>
    <row r="10" customFormat="false" ht="15" hidden="false" customHeight="false" outlineLevel="0" collapsed="false">
      <c r="A10" s="4"/>
      <c r="B10" s="7" t="s">
        <v>58</v>
      </c>
      <c r="C10" s="7" t="n">
        <f aca="false">SUMIF(E6:E8,"Comprometida",C6:C8)+SUMIF(E6:E8,"Arrastrada del Sprint 2",C6:C8)</f>
        <v>8</v>
      </c>
      <c r="D10" s="4"/>
      <c r="E10" s="4"/>
      <c r="F10" s="4"/>
      <c r="G10" s="4"/>
    </row>
    <row r="11" customFormat="false" ht="15" hidden="false" customHeight="false" outlineLevel="0" collapsed="false">
      <c r="A11" s="4"/>
      <c r="B11" s="7" t="s">
        <v>59</v>
      </c>
      <c r="C11" s="7" t="n">
        <f aca="false">SUMIF(F6:F8,"Terminada",C6:C8)</f>
        <v>0</v>
      </c>
      <c r="D11" s="4"/>
      <c r="E11" s="4"/>
      <c r="F11" s="4"/>
      <c r="G11" s="4"/>
    </row>
    <row r="13" customFormat="false" ht="15" hidden="false" customHeight="false" outlineLevel="0" collapsed="false">
      <c r="A13" s="8" t="s">
        <v>190</v>
      </c>
    </row>
  </sheetData>
  <mergeCells count="1"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0"/>
  </cols>
  <sheetData>
    <row r="1" customFormat="false" ht="19.7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4" customFormat="false" ht="15" hidden="false" customHeight="false" outlineLevel="0" collapsed="false">
      <c r="A4" s="3" t="s">
        <v>193</v>
      </c>
      <c r="B4" s="3" t="s">
        <v>194</v>
      </c>
      <c r="C4" s="3" t="s">
        <v>195</v>
      </c>
      <c r="D4" s="3" t="s">
        <v>196</v>
      </c>
    </row>
    <row r="5" customFormat="false" ht="15" hidden="false" customHeight="false" outlineLevel="0" collapsed="false">
      <c r="A5" s="4" t="s">
        <v>3</v>
      </c>
      <c r="B5" s="4" t="s">
        <v>197</v>
      </c>
      <c r="C5" s="4" t="n">
        <v>73</v>
      </c>
      <c r="D5" s="4" t="n">
        <v>73</v>
      </c>
    </row>
    <row r="6" customFormat="false" ht="15" hidden="false" customHeight="false" outlineLevel="0" collapsed="false">
      <c r="A6" s="4" t="s">
        <v>198</v>
      </c>
      <c r="B6" s="4" t="s">
        <v>199</v>
      </c>
      <c r="C6" s="4" t="n">
        <v>49</v>
      </c>
      <c r="D6" s="4" t="n">
        <v>34</v>
      </c>
    </row>
    <row r="7" customFormat="false" ht="15" hidden="false" customHeight="false" outlineLevel="0" collapsed="false">
      <c r="A7" s="4" t="s">
        <v>200</v>
      </c>
      <c r="B7" s="4" t="s">
        <v>201</v>
      </c>
      <c r="C7" s="4" t="n">
        <v>24</v>
      </c>
      <c r="D7" s="4" t="n">
        <v>5</v>
      </c>
    </row>
    <row r="8" customFormat="false" ht="15" hidden="false" customHeight="false" outlineLevel="0" collapsed="false">
      <c r="A8" s="4" t="s">
        <v>202</v>
      </c>
      <c r="B8" s="4" t="s">
        <v>203</v>
      </c>
      <c r="C8" s="4" t="n">
        <v>0</v>
      </c>
      <c r="D8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70"/>
  </cols>
  <sheetData>
    <row r="1" customFormat="false" ht="19.7" hidden="false" customHeight="false" outlineLevel="0" collapsed="false">
      <c r="A1" s="1" t="s">
        <v>204</v>
      </c>
    </row>
    <row r="3" customFormat="false" ht="15" hidden="false" customHeight="false" outlineLevel="0" collapsed="false">
      <c r="A3" s="3" t="s">
        <v>2</v>
      </c>
      <c r="B3" s="3" t="s">
        <v>205</v>
      </c>
      <c r="C3" s="3" t="s">
        <v>206</v>
      </c>
      <c r="D3" s="3" t="s">
        <v>207</v>
      </c>
      <c r="E3" s="3" t="s">
        <v>208</v>
      </c>
    </row>
    <row r="4" customFormat="false" ht="23.85" hidden="false" customHeight="false" outlineLevel="0" collapsed="false">
      <c r="A4" s="4" t="s">
        <v>9</v>
      </c>
      <c r="B4" s="4" t="n">
        <v>1</v>
      </c>
      <c r="C4" s="4" t="s">
        <v>209</v>
      </c>
      <c r="D4" s="4" t="s">
        <v>210</v>
      </c>
      <c r="E4" s="4" t="s">
        <v>211</v>
      </c>
    </row>
    <row r="5" customFormat="false" ht="15" hidden="false" customHeight="false" outlineLevel="0" collapsed="false">
      <c r="A5" s="5" t="s">
        <v>9</v>
      </c>
      <c r="B5" s="5" t="n">
        <v>2</v>
      </c>
      <c r="C5" s="5" t="s">
        <v>212</v>
      </c>
      <c r="D5" s="5" t="s">
        <v>210</v>
      </c>
      <c r="E5" s="5" t="s">
        <v>213</v>
      </c>
    </row>
    <row r="6" customFormat="false" ht="15" hidden="false" customHeight="false" outlineLevel="0" collapsed="false">
      <c r="A6" s="4" t="s">
        <v>14</v>
      </c>
      <c r="B6" s="4" t="n">
        <v>1</v>
      </c>
      <c r="C6" s="4" t="s">
        <v>214</v>
      </c>
      <c r="D6" s="4" t="s">
        <v>215</v>
      </c>
      <c r="E6" s="4" t="s">
        <v>216</v>
      </c>
    </row>
    <row r="7" customFormat="false" ht="15" hidden="false" customHeight="false" outlineLevel="0" collapsed="false">
      <c r="A7" s="5" t="s">
        <v>14</v>
      </c>
      <c r="B7" s="5" t="n">
        <v>2</v>
      </c>
      <c r="C7" s="5" t="s">
        <v>217</v>
      </c>
      <c r="D7" s="5" t="s">
        <v>210</v>
      </c>
      <c r="E7" s="5" t="s">
        <v>218</v>
      </c>
    </row>
    <row r="8" customFormat="false" ht="15" hidden="false" customHeight="false" outlineLevel="0" collapsed="false">
      <c r="A8" s="4" t="s">
        <v>14</v>
      </c>
      <c r="B8" s="4" t="n">
        <v>3</v>
      </c>
      <c r="C8" s="4" t="s">
        <v>219</v>
      </c>
      <c r="D8" s="4" t="s">
        <v>210</v>
      </c>
      <c r="E8" s="4" t="s">
        <v>220</v>
      </c>
    </row>
    <row r="9" customFormat="false" ht="15" hidden="false" customHeight="false" outlineLevel="0" collapsed="false">
      <c r="A9" s="5" t="s">
        <v>18</v>
      </c>
      <c r="B9" s="5" t="n">
        <v>1</v>
      </c>
      <c r="C9" s="5" t="s">
        <v>221</v>
      </c>
      <c r="D9" s="5" t="s">
        <v>215</v>
      </c>
      <c r="E9" s="5" t="s">
        <v>222</v>
      </c>
    </row>
    <row r="10" customFormat="false" ht="23.85" hidden="false" customHeight="false" outlineLevel="0" collapsed="false">
      <c r="A10" s="4" t="s">
        <v>18</v>
      </c>
      <c r="B10" s="4" t="n">
        <v>2</v>
      </c>
      <c r="C10" s="4" t="s">
        <v>223</v>
      </c>
      <c r="D10" s="4" t="s">
        <v>215</v>
      </c>
      <c r="E10" s="4" t="s">
        <v>224</v>
      </c>
    </row>
    <row r="11" customFormat="false" ht="15" hidden="false" customHeight="false" outlineLevel="0" collapsed="false">
      <c r="A11" s="5" t="s">
        <v>18</v>
      </c>
      <c r="B11" s="5" t="n">
        <v>3</v>
      </c>
      <c r="C11" s="5" t="s">
        <v>225</v>
      </c>
      <c r="D11" s="5" t="s">
        <v>215</v>
      </c>
      <c r="E11" s="5" t="s">
        <v>226</v>
      </c>
    </row>
    <row r="12" customFormat="false" ht="23.85" hidden="false" customHeight="false" outlineLevel="0" collapsed="false">
      <c r="A12" s="4" t="s">
        <v>18</v>
      </c>
      <c r="B12" s="4" t="n">
        <v>4</v>
      </c>
      <c r="C12" s="4" t="s">
        <v>227</v>
      </c>
      <c r="D12" s="4" t="s">
        <v>210</v>
      </c>
      <c r="E12" s="4" t="s">
        <v>228</v>
      </c>
    </row>
    <row r="13" customFormat="false" ht="15" hidden="false" customHeight="false" outlineLevel="0" collapsed="false">
      <c r="A13" s="5" t="s">
        <v>18</v>
      </c>
      <c r="B13" s="5" t="n">
        <v>5</v>
      </c>
      <c r="C13" s="5" t="s">
        <v>229</v>
      </c>
      <c r="D13" s="5" t="s">
        <v>210</v>
      </c>
      <c r="E13" s="5" t="s">
        <v>230</v>
      </c>
    </row>
    <row r="14" customFormat="false" ht="23.85" hidden="false" customHeight="false" outlineLevel="0" collapsed="false">
      <c r="A14" s="4" t="s">
        <v>18</v>
      </c>
      <c r="B14" s="4" t="n">
        <v>6</v>
      </c>
      <c r="C14" s="4" t="s">
        <v>231</v>
      </c>
      <c r="D14" s="4" t="s">
        <v>210</v>
      </c>
      <c r="E14" s="4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2026-10-05T21:28:22Z</dcterms:created>
  <dc:creator>openpyxl</dc:creator>
  <dc:description/>
  <dc:language>en-US</dc:language>
  <cp:lastModifiedBy/>
  <dcterms:modified xsi:type="dcterms:W3CDTF">2026-10-05T21:28:22Z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