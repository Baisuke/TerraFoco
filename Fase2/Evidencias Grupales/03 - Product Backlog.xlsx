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istorias" sheetId="2" state="visible" r:id="rId4"/>
    <sheet name="Criterios pendientes" sheetId="3" state="visible" r:id="rId5"/>
  </sheets>
  <definedNames>
    <definedName function="false" hidden="true" localSheetId="1" name="_xlnm._FilterDatabase" vbProcedure="false">Historias!$A$4:$I$47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<sst xmlns="http://schemas.openxmlformats.org/spreadsheetml/2006/main" count="446" uniqueCount="215">
  <si>
    <t xml:space="preserve">Product Backlog — Resumen</t>
  </si>
  <si>
    <t xml:space="preserve">Las cifras son fórmulas sobre la hoja Historias.</t>
  </si>
  <si>
    <t xml:space="preserve">Estado</t>
  </si>
  <si>
    <t xml:space="preserve">Historias</t>
  </si>
  <si>
    <t xml:space="preserve">Puntos</t>
  </si>
  <si>
    <t xml:space="preserve">Terminada</t>
  </si>
  <si>
    <t xml:space="preserve">En curso</t>
  </si>
  <si>
    <t xml:space="preserve">No iniciada</t>
  </si>
  <si>
    <t xml:space="preserve">Alcance comprometido</t>
  </si>
  <si>
    <t xml:space="preserve">Fuera del compromiso</t>
  </si>
  <si>
    <t xml:space="preserve">Total del backlog</t>
  </si>
  <si>
    <t xml:space="preserve">Avance del alcance comprometido</t>
  </si>
  <si>
    <t xml:space="preserve">Épica</t>
  </si>
  <si>
    <t xml:space="preserve">Comprometidos</t>
  </si>
  <si>
    <t xml:space="preserve">Terminados</t>
  </si>
  <si>
    <t xml:space="preserve">Avance</t>
  </si>
  <si>
    <t xml:space="preserve">Emergentes (pts)</t>
  </si>
  <si>
    <t xml:space="preserve">E1 · Núcleo de procesamiento geoespacial</t>
  </si>
  <si>
    <t xml:space="preserve">E2 · Datos de inversión pública</t>
  </si>
  <si>
    <t xml:space="preserve">E3 · Módulo 1 · Erosión y pertinencia</t>
  </si>
  <si>
    <t xml:space="preserve">E4 · Módulo 2 · Susceptibilidad a inundación</t>
  </si>
  <si>
    <t xml:space="preserve">E5 · Módulo 3 · Térmico y áreas verdes</t>
  </si>
  <si>
    <t xml:space="preserve">E6 · Presentación y experiencia de usuario</t>
  </si>
  <si>
    <t xml:space="preserve">E7 · Modelado predictivo</t>
  </si>
  <si>
    <t xml:space="preserve">E8 · Calidad, despliegue y cierre</t>
  </si>
  <si>
    <t xml:space="preserve">Notas</t>
  </si>
  <si>
    <t xml:space="preserve">• Las historias emergentes (HU-32 a HU-43) se incorporaron el 05-10; sus puntos se estimaron a posteriori y deben confirmarse en el refinamiento.</t>
  </si>
  <si>
    <t xml:space="preserve">• HU-07 se redefinió: la validación se hizo contra la entrega oficial de INDAP (30.313 planes) en vez de ODEPA. Confirmar con la docente.</t>
  </si>
  <si>
    <t xml:space="preserve">• HU-17, HU-18 y HU-19 cambiaron de fuente sin cambiar de objetivo (DesInventar, ECOSTRESS, zona censal).</t>
  </si>
  <si>
    <t xml:space="preserve">• E7 (modelado predictivo) sigue fuera del compromiso desde el 07-09; su reincorporación es decisión del Product Owner.</t>
  </si>
  <si>
    <t xml:space="preserve">Product Backlog — TerraFoco</t>
  </si>
  <si>
    <t xml:space="preserve">Corte 05-10-2026, verificado contra la rama main (commit b964de9). Edita solo la columna Estado: el resumen se recalcula.</t>
  </si>
  <si>
    <t xml:space="preserve">ID</t>
  </si>
  <si>
    <t xml:space="preserve">Historia de usuario</t>
  </si>
  <si>
    <t xml:space="preserve">Pts</t>
  </si>
  <si>
    <t xml:space="preserve">Prioridad</t>
  </si>
  <si>
    <t xml:space="preserve">Sprint</t>
  </si>
  <si>
    <t xml:space="preserve">Origen</t>
  </si>
  <si>
    <t xml:space="preserve">Evidencia en el repositorio</t>
  </si>
  <si>
    <t xml:space="preserve">HU-01</t>
  </si>
  <si>
    <t xml:space="preserve">E1</t>
  </si>
  <si>
    <t xml:space="preserve">Como administrador de datos, quiero un modelo de datos espacial en PostGIS, para almacenar información raster y vectorial con versionado temporal</t>
  </si>
  <si>
    <t xml:space="preserve">Must</t>
  </si>
  <si>
    <t xml:space="preserve">Sprint 0</t>
  </si>
  <si>
    <t xml:space="preserve">Fase 1</t>
  </si>
  <si>
    <t xml:space="preserve">bd/esquema.sql y 19 migraciones numeradas en bd/migraciones/</t>
  </si>
  <si>
    <t xml:space="preserve">HU-02</t>
  </si>
  <si>
    <t xml:space="preserve">Como administrador de datos, quiero descargar automáticamente imágenes Sentinel-2 del área de interés, para no tener que hacerlo a mano cada vez</t>
  </si>
  <si>
    <t xml:space="preserve">motor/ingesta/sentinel.py (composición mensual sin nubes)</t>
  </si>
  <si>
    <t xml:space="preserve">HU-03</t>
  </si>
  <si>
    <t xml:space="preserve">Como administrador de datos, quiero descargar el modelo de elevación SRTM del área, para derivar las variables topográficas</t>
  </si>
  <si>
    <t xml:space="preserve">motor/ingesta/srtm.py</t>
  </si>
  <si>
    <t xml:space="preserve">HU-04</t>
  </si>
  <si>
    <t xml:space="preserve">Como administrador de datos, quiero que los insumos se reproyecten y recorten automáticamente, para trabajar con un sistema de referencia y una extensión homogéneos</t>
  </si>
  <si>
    <t xml:space="preserve">Sprint 1</t>
  </si>
  <si>
    <t xml:space="preserve">motor/ingesta/zonal.py; test_zonal.py (rechaza rásteres en grados)</t>
  </si>
  <si>
    <t xml:space="preserve">HU-05</t>
  </si>
  <si>
    <t xml:space="preserve">Como administrador de datos, quiero consultar la bitácora de ejecuciones, para saber qué procesos corrieron y con qué resultado</t>
  </si>
  <si>
    <t xml:space="preserve">Should</t>
  </si>
  <si>
    <t xml:space="preserve">motor/estado.py, operacion.ejecucion_proceso; migración 005</t>
  </si>
  <si>
    <t xml:space="preserve">HU-06</t>
  </si>
  <si>
    <t xml:space="preserve">E2</t>
  </si>
  <si>
    <t xml:space="preserve">Como administrador de datos, quiero consolidar las planillas mensuales de Transparencia Activa en una tabla única, para poder analizarlas por comuna y año</t>
  </si>
  <si>
    <t xml:space="preserve">motor/ingesta/sirsd_ide.py; test_sirsd.py; tabla de rechazos</t>
  </si>
  <si>
    <t xml:space="preserve">HU-07</t>
  </si>
  <si>
    <t xml:space="preserve">Como administrador de datos, quiero validar los montos de ejecución contra una fuente oficial, para detectar errores de carga (redefinida: entrega oficial de INDAP en vez de ODEPA)</t>
  </si>
  <si>
    <t xml:space="preserve">Sprint 2</t>
  </si>
  <si>
    <t xml:space="preserve">Redefinida: se validó contra la entrega oficial de INDAP (30.313 planes) en vez de ODEPA. 423/425 celdas coinciden; diferencia de incentivo 0,002 %. docs/17-serie-sirsd.md, herramientas/agregar_entrega_indap.py</t>
  </si>
  <si>
    <t xml:space="preserve">HU-08</t>
  </si>
  <si>
    <t xml:space="preserve">Como Product Owner, quiero gestionar con INDAP la serie histórica de ejecución del SIRSD-S, para obtener superficie bonificada, incentivo y tipo de práctica por año</t>
  </si>
  <si>
    <t xml:space="preserve">Serie 2012–2025 obtenida y cargada: bd/semillas/sirsd_serie_definitiva_2012_2025.csv; docs/11 y docs/17</t>
  </si>
  <si>
    <t xml:space="preserve">HU-09</t>
  </si>
  <si>
    <t xml:space="preserve">E3</t>
  </si>
  <si>
    <t xml:space="preserve">Como analista, quiero que el sistema calcule el NDVI desde Sentinel-2, para derivar el factor de cobertura vegetal</t>
  </si>
  <si>
    <t xml:space="preserve">motor/ingesta/sentinel.py; test_factores.py</t>
  </si>
  <si>
    <t xml:space="preserve">HU-10</t>
  </si>
  <si>
    <t xml:space="preserve">Como analista, quiero que el sistema derive pendiente y longitud desde el SRTM, para obtener el factor topográfico</t>
  </si>
  <si>
    <t xml:space="preserve">motor/indicadores/terreno.py; test_terreno.py</t>
  </si>
  <si>
    <t xml:space="preserve">HU-11</t>
  </si>
  <si>
    <t xml:space="preserve">Como analista, quiero obtener la erosión estimada por comuna aplicando RUSLE, para conocer el estado actual del territorio</t>
  </si>
  <si>
    <t xml:space="preserve">motor/indicadores/rusle.py, motor/calcular.py; test_rusle.py</t>
  </si>
  <si>
    <t xml:space="preserve">HU-12</t>
  </si>
  <si>
    <t xml:space="preserve">Como analista, quiero comparar la erosión estimada con la línea base de CIREN, para saber si la situación mejoró o empeoró</t>
  </si>
  <si>
    <t xml:space="preserve">motor/ingesta/ciren.py, motor/validar.py; migraciones 003 y 004 (en_dominio)</t>
  </si>
  <si>
    <t xml:space="preserve">HU-13</t>
  </si>
  <si>
    <t xml:space="preserve">Como encargado de programa, quiero ver un índice que relacione erosión con inversión recibida, para identificar comunas mal focalizadas</t>
  </si>
  <si>
    <t xml:space="preserve">api/rutas/pertinencia.py; migraciones 001, 004 y 013</t>
  </si>
  <si>
    <t xml:space="preserve">HU-14</t>
  </si>
  <si>
    <t xml:space="preserve">Como encargado de programa, quiero ver el ranking comunal ordenado por brecha, para priorizar dónde intervenir</t>
  </si>
  <si>
    <t xml:space="preserve">api/rutas/pertinencia.py; prototipo/pertinencia.html</t>
  </si>
  <si>
    <t xml:space="preserve">HU-15</t>
  </si>
  <si>
    <t xml:space="preserve">E4</t>
  </si>
  <si>
    <t xml:space="preserve">Como analista, quiero que el sistema derive acumulación de flujo y distancia a cauces del DEM, para alimentar el análisis multicriterio</t>
  </si>
  <si>
    <t xml:space="preserve">motor/ingesta/hidrologia.py, cauces.py; test_hidrologia.py, test_cauces.py</t>
  </si>
  <si>
    <t xml:space="preserve">HU-16</t>
  </si>
  <si>
    <t xml:space="preserve">Como analista, quiero obtener un índice de susceptibilidad por comuna, para saber qué territorios presentan condiciones favorables a inundación</t>
  </si>
  <si>
    <t xml:space="preserve">motor/indicadores/inundacion.py (33/33 comunas); migraciones 007–011</t>
  </si>
  <si>
    <t xml:space="preserve">HU-17</t>
  </si>
  <si>
    <t xml:space="preserve">Como analista, quiero contrastar el índice con eventos históricos de inundación, para saber qué tan confiable es (fuente: DesInventar en vez de SENAPRED)</t>
  </si>
  <si>
    <t xml:space="preserve">DesInventar en vez de SENAPRED; recalibración con evidencia (Spearman de −0,16 a +0,36/+0,41). docs/13-modulo-inundaciones.md</t>
  </si>
  <si>
    <t xml:space="preserve">HU-18</t>
  </si>
  <si>
    <t xml:space="preserve">E5</t>
  </si>
  <si>
    <t xml:space="preserve">Como analista, quiero calcular la temperatura superficial desde imágenes térmicas, para identificar islas de calor (fuente: ECOSTRESS en vez de Landsat)</t>
  </si>
  <si>
    <t xml:space="preserve">ECOSTRESS en vez de Landsat: motor/ingesta/ecostress.py; migración 006; test_ecostress.py</t>
  </si>
  <si>
    <t xml:space="preserve">HU-19</t>
  </si>
  <si>
    <t xml:space="preserve">Como analista, quiero obtener el área verde por habitante por zona censal, para detectar déficit respecto del estándar (zona censal en vez de unidad vecinal)</t>
  </si>
  <si>
    <t xml:space="preserve">Por zona censal (Censo 2024 + OSM, estándar SIEDU): motor/indicadores/area_verde.py; migración 014; docs/18</t>
  </si>
  <si>
    <t xml:space="preserve">HU-20</t>
  </si>
  <si>
    <t xml:space="preserve">E6</t>
  </si>
  <si>
    <t xml:space="preserve">Como analista, quiero ver las comunas en un mapa coloreado según el indicador, para identificar patrones territoriales de un vistazo</t>
  </si>
  <si>
    <t xml:space="preserve">prototipo/visor.html, js/mapa-real.js</t>
  </si>
  <si>
    <t xml:space="preserve">HU-21</t>
  </si>
  <si>
    <t xml:space="preserve">Como analista, quiero cambiar la capa temática desde un panel, para comparar distintas variables sobre el mismo territorio</t>
  </si>
  <si>
    <t xml:space="preserve">prototipo/js/shell.js</t>
  </si>
  <si>
    <t xml:space="preserve">HU-22</t>
  </si>
  <si>
    <t xml:space="preserve">Como encargado de programa, quiero abrir la ficha de una comuna, para revisar su detalle sin salir del mapa</t>
  </si>
  <si>
    <t xml:space="preserve">prototipo/comuna.html, js/detalle-comuna.js</t>
  </si>
  <si>
    <t xml:space="preserve">HU-23</t>
  </si>
  <si>
    <t xml:space="preserve">Como encargado de programa, quiero exportar un reporte de la región, para incluirlo en mis informes de gestión</t>
  </si>
  <si>
    <t xml:space="preserve">Could</t>
  </si>
  <si>
    <t xml:space="preserve">Exportar CSV según la pantalla (UC-04) y zonas en KML/GeoJSON: js/shell.js, js/zonas.js</t>
  </si>
  <si>
    <t xml:space="preserve">HU-24</t>
  </si>
  <si>
    <t xml:space="preserve">Como usuario sin formación informática, quiero que la interfaz sea comprensible sin capacitación previa, para poder usarla en mi trabajo diario</t>
  </si>
  <si>
    <t xml:space="preserve">Sprint 3</t>
  </si>
  <si>
    <t xml:space="preserve">Hecho: ayuda.html con glosario, versión móvil, buscador. Falta: auditoría C2/C3 completa y sesión con usuarios (docs/16)</t>
  </si>
  <si>
    <t xml:space="preserve">HU-25</t>
  </si>
  <si>
    <t xml:space="preserve">E7</t>
  </si>
  <si>
    <t xml:space="preserve">Como analista, quiero que el sistema evalúe tres algoritmos de clasificación, para saber cuál predice mejor la susceptibilidad territorial</t>
  </si>
  <si>
    <t xml:space="preserve">Sin asignar</t>
  </si>
  <si>
    <t xml:space="preserve">Fuera del compromiso (decisión del 07-09)</t>
  </si>
  <si>
    <t xml:space="preserve">HU-26</t>
  </si>
  <si>
    <t xml:space="preserve">Como analista, quiero ver las métricas comparadas de los tres algoritmos, para justificar la elección del modelo</t>
  </si>
  <si>
    <t xml:space="preserve">HU-27</t>
  </si>
  <si>
    <t xml:space="preserve">Como analista, quiero conocer qué variables pesan más en la predicción, para entender el resultado y no solo aceptarlo</t>
  </si>
  <si>
    <t xml:space="preserve">HU-28</t>
  </si>
  <si>
    <t xml:space="preserve">E8</t>
  </si>
  <si>
    <t xml:space="preserve">Como equipo, queremos un plan de pruebas con casos definidos, para verificar sistemáticamente el comportamiento del sistema</t>
  </si>
  <si>
    <t xml:space="preserve">No existe documento. Hay 312 pruebas automatizadas, pero no el plan que las organiza</t>
  </si>
  <si>
    <t xml:space="preserve">HU-29</t>
  </si>
  <si>
    <t xml:space="preserve">Como equipo, queremos pruebas automatizadas de los cálculos de indicadores, para detectar regresiones al modificar el código</t>
  </si>
  <si>
    <t xml:space="preserve">motor/tests y api/tests: 312 pasan, 50 omitidas (requieren base de datos) al 05-10</t>
  </si>
  <si>
    <t xml:space="preserve">HU-30</t>
  </si>
  <si>
    <t xml:space="preserve">Como equipo, queremos ejecutar una prueba de usabilidad con la contraparte del piloto, para validar la interfaz con usuarios reales</t>
  </si>
  <si>
    <t xml:space="preserve">Plan listo en docs/16; rama carla/prueba-usabilidad creada sin commits</t>
  </si>
  <si>
    <t xml:space="preserve">HU-31</t>
  </si>
  <si>
    <t xml:space="preserve">Como equipo, queremos documentar el proceso analítico según CRISP-DM, para dejar trazabilidad metodológica</t>
  </si>
  <si>
    <t xml:space="preserve">Sprint 4</t>
  </si>
  <si>
    <t xml:space="preserve">La correspondencia de fases está en docs/05 §3; falta el documento de trazabilidad</t>
  </si>
  <si>
    <t xml:space="preserve">HU-32</t>
  </si>
  <si>
    <t xml:space="preserve">Como administrador de datos, quiero registrar y actualizar las fuentes desde el visor y ver su última carga, para saber qué datos están al día sin consultar la base</t>
  </si>
  <si>
    <t xml:space="preserve">Emergente</t>
  </si>
  <si>
    <t xml:space="preserve">api/rutas/fuentes.py; migraciones 012 y 017; test_fuentes.py (UC-10, UC-12)</t>
  </si>
  <si>
    <t xml:space="preserve">HU-33</t>
  </si>
  <si>
    <t xml:space="preserve">Como administrador de datos, quiero que toda escritura en la API exija una clave, para que nadie modifique el catálogo sin autorización</t>
  </si>
  <si>
    <t xml:space="preserve">api/seguridad.py; test_seguridad.py (RF-31, RNF-19)</t>
  </si>
  <si>
    <t xml:space="preserve">HU-34</t>
  </si>
  <si>
    <t xml:space="preserve">Como encargado de programa, quiero que el índice use la inversión 2012–2025 en UF por hectárea erosionada, para comparar comunas con una medida estable en el tiempo</t>
  </si>
  <si>
    <t xml:space="preserve">motor/ingesta/sirsd_serie.py; indicadores/superficie_erosionada.py; migración 013</t>
  </si>
  <si>
    <t xml:space="preserve">HU-35</t>
  </si>
  <si>
    <t xml:space="preserve">Como encargado de programa, quiero ver cómo evolucionó la focalización año a año, para saber si la brecha se está cerrando o abriendo</t>
  </si>
  <si>
    <t xml:space="preserve">api/focalizacion.py; test_focalizacion.py</t>
  </si>
  <si>
    <t xml:space="preserve">HU-36</t>
  </si>
  <si>
    <t xml:space="preserve">Como analista, quiero ver el detalle a 30 m de una comuna con relieve, para identificar dónde dentro de la comuna está el problema</t>
  </si>
  <si>
    <t xml:space="preserve">motor/teselas.py (PMTiles), js/modelo3d.js; test_teselas.py</t>
  </si>
  <si>
    <t xml:space="preserve">HU-37</t>
  </si>
  <si>
    <t xml:space="preserve">Como analista, quiero saber cuánta población, servicios críticos y suelo agrícola quedan expuestos a inundación, para dimensionar el impacto y no solo la susceptibilidad</t>
  </si>
  <si>
    <t xml:space="preserve">api/rutas/exposicion.py; migraciones 016 y 019; test_exposicion.py</t>
  </si>
  <si>
    <t xml:space="preserve">HU-38</t>
  </si>
  <si>
    <t xml:space="preserve">Como usuario de INDAP, quiero abrir TerraFoco desde una URL pública, para usarlo sin instalar nada</t>
  </si>
  <si>
    <t xml:space="preserve">Hecho: despliegue/ (compose de producción, Caddy, scripts), docs/19. Falta: máquina y dominio publicados</t>
  </si>
  <si>
    <t xml:space="preserve">HU-39</t>
  </si>
  <si>
    <t xml:space="preserve">Como equipo, queremos presentar el sistema sin servidor ni computador propio, para demostrarlo en cualquier sala</t>
  </si>
  <si>
    <t xml:space="preserve">docs/12; herramientas/empaquetar_portable.py, lanzador_portable.py</t>
  </si>
  <si>
    <t xml:space="preserve">HU-40</t>
  </si>
  <si>
    <t xml:space="preserve">Como profesional de INDAP, quiero evaluar mis predios subiendo un CSV con coordenadas, para revisar riesgos de predios concretos sin que el archivo salga de mi equipo</t>
  </si>
  <si>
    <t xml:space="preserve">prototipo/predios.html, js/predios.js</t>
  </si>
  <si>
    <t xml:space="preserve">HU-41</t>
  </si>
  <si>
    <t xml:space="preserve">Como equipo, queremos traspasar el proyecto al repositorio oficial con la estructura de la Escuela, para cumplir el formato de entrega con el aporte de cada integrante</t>
  </si>
  <si>
    <t xml:space="preserve">herramientas/sincronizar.py y dividir_entrega.py listos; rama bastian/migracion-repo-oficial sin commits</t>
  </si>
  <si>
    <t xml:space="preserve">HU-42</t>
  </si>
  <si>
    <t xml:space="preserve">Como equipo, queremos un README de entrega que declare cómo se usó la IA, para transparentar el proceso ante la comisión</t>
  </si>
  <si>
    <t xml:space="preserve">Rama carla/readme-y-uso-de-ia sin commits</t>
  </si>
  <si>
    <t xml:space="preserve">HU-43</t>
  </si>
  <si>
    <t xml:space="preserve">Como equipo, queremos que las pruebas corran solas en cada push, para detectar regresiones antes de que lleguen a main</t>
  </si>
  <si>
    <t xml:space="preserve">No hay .github/workflows. Era la tarea 8 del Sprint 0 (docs/07)</t>
  </si>
  <si>
    <t xml:space="preserve">Criterios de aceptación de las historias pendientes</t>
  </si>
  <si>
    <t xml:space="preserve">Historia</t>
  </si>
  <si>
    <t xml:space="preserve">Criterio de aceptación</t>
  </si>
  <si>
    <t xml:space="preserve">Interfaz comprensible sin capacitación previa</t>
  </si>
  <si>
    <t xml:space="preserve">Un usuario sin experiencia previa completa las tres tareas del plan de usabilidad (docs/16) sin ayuda</t>
  </si>
  <si>
    <t xml:space="preserve">Ningún término técnico aparece sin explicación accesible (glosario de ayuda.html)</t>
  </si>
  <si>
    <t xml:space="preserve">Toda cifra mostrada indica su unidad de medida</t>
  </si>
  <si>
    <t xml:space="preserve">Plan de pruebas</t>
  </si>
  <si>
    <t xml:space="preserve">Casos de prueba por requerimiento funcional (RF-01 a RF-31): entrada, resultado esperado y obtenido</t>
  </si>
  <si>
    <t xml:space="preserve">Cada caso enlaza la prueba automatizada que lo cubre, o declara que es manual</t>
  </si>
  <si>
    <t xml:space="preserve">Incluye pruebas de extremo a extremo: base cargada → API → visor</t>
  </si>
  <si>
    <t xml:space="preserve">Prueba de usabilidad con la contraparte</t>
  </si>
  <si>
    <t xml:space="preserve">Al menos tres personas que no son del equipo ni de la carrera, idealmente de INDAP</t>
  </si>
  <si>
    <t xml:space="preserve">Se registran tareas, tiempos, errores y comentarios textuales</t>
  </si>
  <si>
    <t xml:space="preserve">Los hallazgos entran al backlog como historias o defectos</t>
  </si>
  <si>
    <t xml:space="preserve">Trazabilidad CRISP-DM</t>
  </si>
  <si>
    <t xml:space="preserve">Un documento que recorre las seis fases para cada indicador, enlazando módulos y validaciones</t>
  </si>
  <si>
    <t xml:space="preserve">Despliegue público</t>
  </si>
  <si>
    <t xml:space="preserve">El visor y la API responden en una URL con HTTPS</t>
  </si>
  <si>
    <t xml:space="preserve">La base no expone su puerto a internet</t>
  </si>
  <si>
    <t xml:space="preserve">La URL se verifica en incógnito desde otro equipo</t>
  </si>
  <si>
    <t xml:space="preserve">Repositorio oficial</t>
  </si>
  <si>
    <t xml:space="preserve">sincronizar.py y dividir_entrega.py verificar corren sin diferencias</t>
  </si>
  <si>
    <t xml:space="preserve">Cada integrante sube su parte desde su propia cuenta</t>
  </si>
  <si>
    <t xml:space="preserve">README y uso de IA</t>
  </si>
  <si>
    <t xml:space="preserve">Describe qué es el sistema, cómo correrlo y dónde está cada entregable</t>
  </si>
  <si>
    <t xml:space="preserve">Declara en qué tareas se usaron asistentes de IA y cómo se verificó su trabajo</t>
  </si>
  <si>
    <t xml:space="preserve">Integración continua</t>
  </si>
  <si>
    <t xml:space="preserve">GitHub Actions ejecuta pytest del motor y de la API en cada push y pull request</t>
  </si>
  <si>
    <t xml:space="preserve">Un push con una prueba fallida queda marcado en rojo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</si>
</sst>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231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17DE2"/>
        <bgColor rgb="FF0066CC"/>
      </patternFill>
    </fill>
    <fill>
      <patternFill patternType="solid">
        <fgColor rgb="FFF3F6F4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C"/>
      </left>
      <right style="thin">
        <color rgb="FFC9CFCC"/>
      </right>
      <top style="thin">
        <color rgb="FFC9CFCC"/>
      </top>
      <bottom style="thin">
        <color rgb="FFC9CF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317DE2"/>
          <bgColor rgb="FF000000"/>
        </patternFill>
      </fill>
    </dxf>
    <dxf>
      <fill>
        <patternFill patternType="solid">
          <fgColor rgb="FFF3F6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AD8"/>
          <bgColor rgb="FF000000"/>
        </patternFill>
      </fill>
    </dxf>
    <dxf>
      <fill>
        <patternFill patternType="solid">
          <fgColor rgb="FFE6E5E0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CEBC2"/>
          <bgColor rgb="FF000000"/>
        </patternFill>
      </fill>
    </dxf>
    <dxf>
      <fill>
        <patternFill>
          <bgColor rgb="FFD6EAD8"/>
        </patternFill>
      </fill>
    </dxf>
    <dxf>
      <fill>
        <patternFill>
          <bgColor rgb="FFFCEBC2"/>
        </patternFill>
      </fill>
    </dxf>
    <dxf>
      <fill>
        <patternFill>
          <bgColor rgb="FFE6E5E0"/>
        </patternFill>
      </fill>
    </dxf>
    <dxf>
      <fill>
        <patternFill>
          <bgColor rgb="FFF5F5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CC"/>
      <rgbColor rgb="FF808080"/>
      <rgbColor rgb="FF9999FF"/>
      <rgbColor rgb="FF993366"/>
      <rgbColor rgb="FFFCEBC2"/>
      <rgbColor rgb="FFF3F6F4"/>
      <rgbColor rgb="FF660066"/>
      <rgbColor rgb="FFFF8080"/>
      <rgbColor rgb="FF0066CC"/>
      <rgbColor rgb="FFE6E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6EAD8"/>
      <rgbColor rgb="FFFFFF99"/>
      <rgbColor rgb="FF99CCFF"/>
      <rgbColor rgb="FFFF99CC"/>
      <rgbColor rgb="FFCC99FF"/>
      <rgbColor rgb="FFFFCC99"/>
      <rgbColor rgb="FF317DE2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2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17</xdr:col>
      <xdr:colOff>511920</xdr:colOff>
      <xdr:row>19</xdr:row>
      <xdr:rowOff>161280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317080" y="571680"/>
          <a:ext cx="7238520" cy="341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COUNTIF(Historias!$G$5:$G$47,A5)</f>
        <v>32</v>
      </c>
      <c r="C5" s="4" t="n">
        <f aca="false">SUMIF(Historias!$G$5:$G$47,A5,Historias!$D$5:$D$47)</f>
        <v>195</v>
      </c>
    </row>
    <row r="6" customFormat="false" ht="15" hidden="false" customHeight="false" outlineLevel="0" collapsed="false">
      <c r="A6" s="4" t="s">
        <v>6</v>
      </c>
      <c r="B6" s="4" t="n">
        <f aca="false">COUNTIF(Historias!$G$5:$G$47,A6)</f>
        <v>2</v>
      </c>
      <c r="C6" s="4" t="n">
        <f aca="false">SUMIF(Historias!$G$5:$G$47,A6,Historias!$D$5:$D$47)</f>
        <v>8</v>
      </c>
    </row>
    <row r="7" customFormat="false" ht="15" hidden="false" customHeight="false" outlineLevel="0" collapsed="false">
      <c r="A7" s="4" t="s">
        <v>7</v>
      </c>
      <c r="B7" s="4" t="n">
        <f aca="false">COUNTIF(Historias!$G$5:$G$47,A7)</f>
        <v>6</v>
      </c>
      <c r="C7" s="4" t="n">
        <f aca="false">SUMIF(Historias!$G$5:$G$47,A7,Historias!$D$5:$D$47)</f>
        <v>21</v>
      </c>
    </row>
    <row r="8" customFormat="false" ht="15" hidden="false" customHeight="false" outlineLevel="0" collapsed="false">
      <c r="A8" s="5" t="s">
        <v>8</v>
      </c>
      <c r="B8" s="5" t="n">
        <f aca="false">SUM(B5:B7)</f>
        <v>40</v>
      </c>
      <c r="C8" s="5" t="n">
        <f aca="false">SUM(C5:C7)</f>
        <v>224</v>
      </c>
    </row>
    <row r="9" customFormat="false" ht="15" hidden="false" customHeight="false" outlineLevel="0" collapsed="false">
      <c r="A9" s="4" t="s">
        <v>9</v>
      </c>
      <c r="B9" s="4" t="n">
        <f aca="false">COUNTIF(Historias!$G$5:$G$47,A9)</f>
        <v>3</v>
      </c>
      <c r="C9" s="4" t="n">
        <f aca="false">SUMIF(Historias!$G$5:$G$47,A9,Historias!$D$5:$D$47)</f>
        <v>16</v>
      </c>
    </row>
    <row r="10" customFormat="false" ht="15" hidden="false" customHeight="false" outlineLevel="0" collapsed="false">
      <c r="A10" s="5" t="s">
        <v>10</v>
      </c>
      <c r="B10" s="5" t="n">
        <f aca="false">B8+B9</f>
        <v>43</v>
      </c>
      <c r="C10" s="5" t="n">
        <f aca="false">C8+C9</f>
        <v>240</v>
      </c>
    </row>
    <row r="11" customFormat="false" ht="15" hidden="false" customHeight="false" outlineLevel="0" collapsed="false">
      <c r="A11" s="5" t="s">
        <v>11</v>
      </c>
      <c r="B11" s="5"/>
      <c r="C11" s="6" t="n">
        <f aca="false">C5/C8</f>
        <v>0.870535714285714</v>
      </c>
    </row>
    <row r="13" customFormat="false" ht="26.85" hidden="false" customHeight="false" outlineLevel="0" collapsed="false">
      <c r="A13" s="3" t="s">
        <v>12</v>
      </c>
      <c r="B13" s="3" t="s">
        <v>13</v>
      </c>
      <c r="C13" s="3" t="s">
        <v>14</v>
      </c>
      <c r="D13" s="3" t="s">
        <v>15</v>
      </c>
      <c r="E13" s="3" t="s">
        <v>16</v>
      </c>
    </row>
    <row r="14" customFormat="false" ht="15" hidden="false" customHeight="false" outlineLevel="0" collapsed="false">
      <c r="A14" s="4" t="s">
        <v>17</v>
      </c>
      <c r="B14" s="4" t="n">
        <f aca="false">SUMIFS(Historias!$D$5:$D$47,Historias!$B$5:$B$47,"E1",Historias!$G$5:$G$47,"&lt;&gt;Fuera del compromiso")</f>
        <v>42</v>
      </c>
      <c r="C14" s="4" t="n">
        <f aca="false">SUMIFS(Historias!$D$5:$D$47,Historias!$B$5:$B$47,"E1",Historias!$G$5:$G$47,"Terminada")</f>
        <v>42</v>
      </c>
      <c r="D14" s="7" t="n">
        <f aca="false">IF(B14=0,"Fuera del compromiso",C14/B14)</f>
        <v>1</v>
      </c>
      <c r="E14" s="4" t="n">
        <f aca="false">SUMIFS(Historias!$D$5:$D$47,Historias!$B$5:$B$47,"E1",Historias!$H$5:$H$47,"Emergente")</f>
        <v>8</v>
      </c>
    </row>
    <row r="15" customFormat="false" ht="15" hidden="false" customHeight="false" outlineLevel="0" collapsed="false">
      <c r="A15" s="4" t="s">
        <v>18</v>
      </c>
      <c r="B15" s="4" t="n">
        <f aca="false">SUMIFS(Historias!$D$5:$D$47,Historias!$B$5:$B$47,"E2",Historias!$G$5:$G$47,"&lt;&gt;Fuera del compromiso")</f>
        <v>26</v>
      </c>
      <c r="C15" s="4" t="n">
        <f aca="false">SUMIFS(Historias!$D$5:$D$47,Historias!$B$5:$B$47,"E2",Historias!$G$5:$G$47,"Terminada")</f>
        <v>26</v>
      </c>
      <c r="D15" s="7" t="n">
        <f aca="false">IF(B15=0,"Fuera del compromiso",C15/B15)</f>
        <v>1</v>
      </c>
      <c r="E15" s="4" t="n">
        <f aca="false">SUMIFS(Historias!$D$5:$D$47,Historias!$B$5:$B$47,"E2",Historias!$H$5:$H$47,"Emergente")</f>
        <v>8</v>
      </c>
    </row>
    <row r="16" customFormat="false" ht="15" hidden="false" customHeight="false" outlineLevel="0" collapsed="false">
      <c r="A16" s="4" t="s">
        <v>19</v>
      </c>
      <c r="B16" s="4" t="n">
        <f aca="false">SUMIFS(Historias!$D$5:$D$47,Historias!$B$5:$B$47,"E3",Historias!$G$5:$G$47,"&lt;&gt;Fuera del compromiso")</f>
        <v>39</v>
      </c>
      <c r="C16" s="4" t="n">
        <f aca="false">SUMIFS(Historias!$D$5:$D$47,Historias!$B$5:$B$47,"E3",Historias!$G$5:$G$47,"Terminada")</f>
        <v>39</v>
      </c>
      <c r="D16" s="7" t="n">
        <f aca="false">IF(B16=0,"Fuera del compromiso",C16/B16)</f>
        <v>1</v>
      </c>
      <c r="E16" s="4" t="n">
        <f aca="false">SUMIFS(Historias!$D$5:$D$47,Historias!$B$5:$B$47,"E3",Historias!$H$5:$H$47,"Emergente")</f>
        <v>5</v>
      </c>
    </row>
    <row r="17" customFormat="false" ht="15" hidden="false" customHeight="false" outlineLevel="0" collapsed="false">
      <c r="A17" s="4" t="s">
        <v>20</v>
      </c>
      <c r="B17" s="4" t="n">
        <f aca="false">SUMIFS(Historias!$D$5:$D$47,Historias!$B$5:$B$47,"E4",Historias!$G$5:$G$47,"&lt;&gt;Fuera del compromiso")</f>
        <v>26</v>
      </c>
      <c r="C17" s="4" t="n">
        <f aca="false">SUMIFS(Historias!$D$5:$D$47,Historias!$B$5:$B$47,"E4",Historias!$G$5:$G$47,"Terminada")</f>
        <v>26</v>
      </c>
      <c r="D17" s="7" t="n">
        <f aca="false">IF(B17=0,"Fuera del compromiso",C17/B17)</f>
        <v>1</v>
      </c>
      <c r="E17" s="4" t="n">
        <f aca="false">SUMIFS(Historias!$D$5:$D$47,Historias!$B$5:$B$47,"E4",Historias!$H$5:$H$47,"Emergente")</f>
        <v>8</v>
      </c>
    </row>
    <row r="18" customFormat="false" ht="15" hidden="false" customHeight="false" outlineLevel="0" collapsed="false">
      <c r="A18" s="4" t="s">
        <v>21</v>
      </c>
      <c r="B18" s="4" t="n">
        <f aca="false">SUMIFS(Historias!$D$5:$D$47,Historias!$B$5:$B$47,"E5",Historias!$G$5:$G$47,"&lt;&gt;Fuera del compromiso")</f>
        <v>16</v>
      </c>
      <c r="C18" s="4" t="n">
        <f aca="false">SUMIFS(Historias!$D$5:$D$47,Historias!$B$5:$B$47,"E5",Historias!$G$5:$G$47,"Terminada")</f>
        <v>16</v>
      </c>
      <c r="D18" s="7" t="n">
        <f aca="false">IF(B18=0,"Fuera del compromiso",C18/B18)</f>
        <v>1</v>
      </c>
      <c r="E18" s="4" t="n">
        <f aca="false">SUMIFS(Historias!$D$5:$D$47,Historias!$B$5:$B$47,"E5",Historias!$H$5:$H$47,"Emergente")</f>
        <v>0</v>
      </c>
    </row>
    <row r="19" customFormat="false" ht="15" hidden="false" customHeight="false" outlineLevel="0" collapsed="false">
      <c r="A19" s="4" t="s">
        <v>22</v>
      </c>
      <c r="B19" s="4" t="n">
        <f aca="false">SUMIFS(Historias!$D$5:$D$47,Historias!$B$5:$B$47,"E6",Historias!$G$5:$G$47,"&lt;&gt;Fuera del compromiso")</f>
        <v>44</v>
      </c>
      <c r="C19" s="4" t="n">
        <f aca="false">SUMIFS(Historias!$D$5:$D$47,Historias!$B$5:$B$47,"E6",Historias!$G$5:$G$47,"Terminada")</f>
        <v>41</v>
      </c>
      <c r="D19" s="7" t="n">
        <f aca="false">IF(B19=0,"Fuera del compromiso",C19/B19)</f>
        <v>0.931818181818182</v>
      </c>
      <c r="E19" s="4" t="n">
        <f aca="false">SUMIFS(Historias!$D$5:$D$47,Historias!$B$5:$B$47,"E6",Historias!$H$5:$H$47,"Emergente")</f>
        <v>18</v>
      </c>
    </row>
    <row r="20" customFormat="false" ht="15" hidden="false" customHeight="false" outlineLevel="0" collapsed="false">
      <c r="A20" s="4" t="s">
        <v>23</v>
      </c>
      <c r="B20" s="4" t="n">
        <f aca="false">SUMIFS(Historias!$D$5:$D$47,Historias!$B$5:$B$47,"E7",Historias!$G$5:$G$47,"&lt;&gt;Fuera del compromiso")</f>
        <v>0</v>
      </c>
      <c r="C20" s="4" t="n">
        <f aca="false">SUMIFS(Historias!$D$5:$D$47,Historias!$B$5:$B$47,"E7",Historias!$G$5:$G$47,"Terminada")</f>
        <v>0</v>
      </c>
      <c r="D20" s="7" t="str">
        <f aca="false">IF(B20=0,"Fuera del compromiso",C20/B20)</f>
        <v>Fuera del compromiso</v>
      </c>
      <c r="E20" s="4" t="n">
        <f aca="false">SUMIFS(Historias!$D$5:$D$47,Historias!$B$5:$B$47,"E7",Historias!$H$5:$H$47,"Emergente")</f>
        <v>0</v>
      </c>
    </row>
    <row r="21" customFormat="false" ht="15" hidden="false" customHeight="false" outlineLevel="0" collapsed="false">
      <c r="A21" s="4" t="s">
        <v>24</v>
      </c>
      <c r="B21" s="4" t="n">
        <f aca="false">SUMIFS(Historias!$D$5:$D$47,Historias!$B$5:$B$47,"E8",Historias!$G$5:$G$47,"&lt;&gt;Fuera del compromiso")</f>
        <v>31</v>
      </c>
      <c r="C21" s="4" t="n">
        <f aca="false">SUMIFS(Historias!$D$5:$D$47,Historias!$B$5:$B$47,"E8",Historias!$G$5:$G$47,"Terminada")</f>
        <v>5</v>
      </c>
      <c r="D21" s="7" t="n">
        <f aca="false">IF(B21=0,"Fuera del compromiso",C21/B21)</f>
        <v>0.161290322580645</v>
      </c>
      <c r="E21" s="4" t="n">
        <f aca="false">SUMIFS(Historias!$D$5:$D$47,Historias!$B$5:$B$47,"E8",Historias!$H$5:$H$47,"Emergente")</f>
        <v>13</v>
      </c>
    </row>
    <row r="23" customFormat="false" ht="15" hidden="false" customHeight="false" outlineLevel="0" collapsed="false">
      <c r="A23" s="8" t="s">
        <v>25</v>
      </c>
    </row>
    <row r="24" customFormat="false" ht="27.75" hidden="false" customHeight="true" outlineLevel="0" collapsed="false">
      <c r="A24" s="9" t="s">
        <v>26</v>
      </c>
      <c r="B24" s="9"/>
      <c r="C24" s="9"/>
      <c r="D24" s="9"/>
      <c r="E24" s="9"/>
      <c r="F24" s="9"/>
    </row>
    <row r="25" customFormat="false" ht="27.75" hidden="false" customHeight="true" outlineLevel="0" collapsed="false">
      <c r="A25" s="9" t="s">
        <v>27</v>
      </c>
      <c r="B25" s="9"/>
      <c r="C25" s="9"/>
      <c r="D25" s="9"/>
      <c r="E25" s="9"/>
      <c r="F25" s="9"/>
    </row>
    <row r="26" customFormat="false" ht="27.75" hidden="false" customHeight="true" outlineLevel="0" collapsed="false">
      <c r="A26" s="9" t="s">
        <v>28</v>
      </c>
      <c r="B26" s="9"/>
      <c r="C26" s="9"/>
      <c r="D26" s="9"/>
      <c r="E26" s="9"/>
      <c r="F26" s="9"/>
    </row>
    <row r="27" customFormat="false" ht="27.75" hidden="false" customHeight="true" outlineLevel="0" collapsed="false">
      <c r="A27" s="9" t="s">
        <v>29</v>
      </c>
      <c r="B27" s="9"/>
      <c r="C27" s="9"/>
      <c r="D27" s="9"/>
      <c r="E27" s="9"/>
      <c r="F27" s="9"/>
    </row>
  </sheetData>
  <mergeCells count="4"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2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70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6.85" hidden="false" customHeight="false" outlineLevel="0" collapsed="false">
      <c r="A4" s="3" t="s">
        <v>32</v>
      </c>
      <c r="B4" s="3" t="s">
        <v>12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2</v>
      </c>
      <c r="H4" s="3" t="s">
        <v>37</v>
      </c>
      <c r="I4" s="3" t="s">
        <v>38</v>
      </c>
    </row>
    <row r="5" customFormat="false" ht="35.05" hidden="false" customHeight="false" outlineLevel="0" collapsed="false">
      <c r="A5" s="4" t="s">
        <v>39</v>
      </c>
      <c r="B5" s="4" t="s">
        <v>40</v>
      </c>
      <c r="C5" s="4" t="s">
        <v>41</v>
      </c>
      <c r="D5" s="4" t="n">
        <v>8</v>
      </c>
      <c r="E5" s="4" t="s">
        <v>42</v>
      </c>
      <c r="F5" s="4" t="s">
        <v>43</v>
      </c>
      <c r="G5" s="4" t="s">
        <v>5</v>
      </c>
      <c r="H5" s="4" t="s">
        <v>44</v>
      </c>
      <c r="I5" s="4" t="s">
        <v>45</v>
      </c>
    </row>
    <row r="6" customFormat="false" ht="23.85" hidden="false" customHeight="false" outlineLevel="0" collapsed="false">
      <c r="A6" s="10" t="s">
        <v>46</v>
      </c>
      <c r="B6" s="10" t="s">
        <v>40</v>
      </c>
      <c r="C6" s="10" t="s">
        <v>47</v>
      </c>
      <c r="D6" s="10" t="n">
        <v>8</v>
      </c>
      <c r="E6" s="10" t="s">
        <v>42</v>
      </c>
      <c r="F6" s="10" t="s">
        <v>43</v>
      </c>
      <c r="G6" s="10" t="s">
        <v>5</v>
      </c>
      <c r="H6" s="10" t="s">
        <v>44</v>
      </c>
      <c r="I6" s="10" t="s">
        <v>48</v>
      </c>
    </row>
    <row r="7" customFormat="false" ht="23.85" hidden="false" customHeight="false" outlineLevel="0" collapsed="false">
      <c r="A7" s="4" t="s">
        <v>49</v>
      </c>
      <c r="B7" s="4" t="s">
        <v>40</v>
      </c>
      <c r="C7" s="4" t="s">
        <v>50</v>
      </c>
      <c r="D7" s="4" t="n">
        <v>5</v>
      </c>
      <c r="E7" s="4" t="s">
        <v>42</v>
      </c>
      <c r="F7" s="4" t="s">
        <v>43</v>
      </c>
      <c r="G7" s="4" t="s">
        <v>5</v>
      </c>
      <c r="H7" s="4" t="s">
        <v>44</v>
      </c>
      <c r="I7" s="4" t="s">
        <v>51</v>
      </c>
    </row>
    <row r="8" customFormat="false" ht="35.05" hidden="false" customHeight="false" outlineLevel="0" collapsed="false">
      <c r="A8" s="10" t="s">
        <v>52</v>
      </c>
      <c r="B8" s="10" t="s">
        <v>40</v>
      </c>
      <c r="C8" s="10" t="s">
        <v>53</v>
      </c>
      <c r="D8" s="10" t="n">
        <v>8</v>
      </c>
      <c r="E8" s="10" t="s">
        <v>42</v>
      </c>
      <c r="F8" s="10" t="s">
        <v>54</v>
      </c>
      <c r="G8" s="10" t="s">
        <v>5</v>
      </c>
      <c r="H8" s="10" t="s">
        <v>44</v>
      </c>
      <c r="I8" s="10" t="s">
        <v>55</v>
      </c>
    </row>
    <row r="9" customFormat="false" ht="23.85" hidden="false" customHeight="false" outlineLevel="0" collapsed="false">
      <c r="A9" s="4" t="s">
        <v>56</v>
      </c>
      <c r="B9" s="4" t="s">
        <v>40</v>
      </c>
      <c r="C9" s="4" t="s">
        <v>57</v>
      </c>
      <c r="D9" s="4" t="n">
        <v>5</v>
      </c>
      <c r="E9" s="4" t="s">
        <v>58</v>
      </c>
      <c r="F9" s="4" t="s">
        <v>54</v>
      </c>
      <c r="G9" s="4" t="s">
        <v>5</v>
      </c>
      <c r="H9" s="4" t="s">
        <v>44</v>
      </c>
      <c r="I9" s="4" t="s">
        <v>59</v>
      </c>
    </row>
    <row r="10" customFormat="false" ht="35.05" hidden="false" customHeight="false" outlineLevel="0" collapsed="false">
      <c r="A10" s="10" t="s">
        <v>60</v>
      </c>
      <c r="B10" s="10" t="s">
        <v>61</v>
      </c>
      <c r="C10" s="10" t="s">
        <v>62</v>
      </c>
      <c r="D10" s="10" t="n">
        <v>8</v>
      </c>
      <c r="E10" s="10" t="s">
        <v>42</v>
      </c>
      <c r="F10" s="10" t="s">
        <v>54</v>
      </c>
      <c r="G10" s="10" t="s">
        <v>5</v>
      </c>
      <c r="H10" s="10" t="s">
        <v>44</v>
      </c>
      <c r="I10" s="10" t="s">
        <v>63</v>
      </c>
    </row>
    <row r="11" customFormat="false" ht="35.05" hidden="false" customHeight="false" outlineLevel="0" collapsed="false">
      <c r="A11" s="4" t="s">
        <v>64</v>
      </c>
      <c r="B11" s="4" t="s">
        <v>61</v>
      </c>
      <c r="C11" s="4" t="s">
        <v>65</v>
      </c>
      <c r="D11" s="4" t="n">
        <v>5</v>
      </c>
      <c r="E11" s="4" t="s">
        <v>58</v>
      </c>
      <c r="F11" s="4" t="s">
        <v>66</v>
      </c>
      <c r="G11" s="4" t="s">
        <v>5</v>
      </c>
      <c r="H11" s="4" t="s">
        <v>44</v>
      </c>
      <c r="I11" s="4" t="s">
        <v>67</v>
      </c>
    </row>
    <row r="12" customFormat="false" ht="35.05" hidden="false" customHeight="false" outlineLevel="0" collapsed="false">
      <c r="A12" s="10" t="s">
        <v>68</v>
      </c>
      <c r="B12" s="10" t="s">
        <v>61</v>
      </c>
      <c r="C12" s="10" t="s">
        <v>69</v>
      </c>
      <c r="D12" s="10" t="n">
        <v>5</v>
      </c>
      <c r="E12" s="10" t="s">
        <v>42</v>
      </c>
      <c r="F12" s="10" t="s">
        <v>66</v>
      </c>
      <c r="G12" s="10" t="s">
        <v>5</v>
      </c>
      <c r="H12" s="10" t="s">
        <v>44</v>
      </c>
      <c r="I12" s="10" t="s">
        <v>70</v>
      </c>
    </row>
    <row r="13" customFormat="false" ht="23.85" hidden="false" customHeight="false" outlineLevel="0" collapsed="false">
      <c r="A13" s="4" t="s">
        <v>71</v>
      </c>
      <c r="B13" s="4" t="s">
        <v>72</v>
      </c>
      <c r="C13" s="4" t="s">
        <v>73</v>
      </c>
      <c r="D13" s="4" t="n">
        <v>5</v>
      </c>
      <c r="E13" s="4" t="s">
        <v>42</v>
      </c>
      <c r="F13" s="4" t="s">
        <v>54</v>
      </c>
      <c r="G13" s="4" t="s">
        <v>5</v>
      </c>
      <c r="H13" s="4" t="s">
        <v>44</v>
      </c>
      <c r="I13" s="4" t="s">
        <v>74</v>
      </c>
    </row>
    <row r="14" customFormat="false" ht="23.85" hidden="false" customHeight="false" outlineLevel="0" collapsed="false">
      <c r="A14" s="10" t="s">
        <v>75</v>
      </c>
      <c r="B14" s="10" t="s">
        <v>72</v>
      </c>
      <c r="C14" s="10" t="s">
        <v>76</v>
      </c>
      <c r="D14" s="10" t="n">
        <v>5</v>
      </c>
      <c r="E14" s="10" t="s">
        <v>42</v>
      </c>
      <c r="F14" s="10" t="s">
        <v>54</v>
      </c>
      <c r="G14" s="10" t="s">
        <v>5</v>
      </c>
      <c r="H14" s="10" t="s">
        <v>44</v>
      </c>
      <c r="I14" s="10" t="s">
        <v>77</v>
      </c>
    </row>
    <row r="15" customFormat="false" ht="23.85" hidden="false" customHeight="false" outlineLevel="0" collapsed="false">
      <c r="A15" s="4" t="s">
        <v>78</v>
      </c>
      <c r="B15" s="4" t="s">
        <v>72</v>
      </c>
      <c r="C15" s="4" t="s">
        <v>79</v>
      </c>
      <c r="D15" s="4" t="n">
        <v>8</v>
      </c>
      <c r="E15" s="4" t="s">
        <v>42</v>
      </c>
      <c r="F15" s="4" t="s">
        <v>54</v>
      </c>
      <c r="G15" s="4" t="s">
        <v>5</v>
      </c>
      <c r="H15" s="4" t="s">
        <v>44</v>
      </c>
      <c r="I15" s="4" t="s">
        <v>80</v>
      </c>
    </row>
    <row r="16" customFormat="false" ht="23.85" hidden="false" customHeight="false" outlineLevel="0" collapsed="false">
      <c r="A16" s="10" t="s">
        <v>81</v>
      </c>
      <c r="B16" s="10" t="s">
        <v>72</v>
      </c>
      <c r="C16" s="10" t="s">
        <v>82</v>
      </c>
      <c r="D16" s="10" t="n">
        <v>5</v>
      </c>
      <c r="E16" s="10" t="s">
        <v>42</v>
      </c>
      <c r="F16" s="10" t="s">
        <v>54</v>
      </c>
      <c r="G16" s="10" t="s">
        <v>5</v>
      </c>
      <c r="H16" s="10" t="s">
        <v>44</v>
      </c>
      <c r="I16" s="10" t="s">
        <v>83</v>
      </c>
    </row>
    <row r="17" customFormat="false" ht="23.85" hidden="false" customHeight="false" outlineLevel="0" collapsed="false">
      <c r="A17" s="4" t="s">
        <v>84</v>
      </c>
      <c r="B17" s="4" t="s">
        <v>72</v>
      </c>
      <c r="C17" s="4" t="s">
        <v>85</v>
      </c>
      <c r="D17" s="4" t="n">
        <v>8</v>
      </c>
      <c r="E17" s="4" t="s">
        <v>42</v>
      </c>
      <c r="F17" s="4" t="s">
        <v>54</v>
      </c>
      <c r="G17" s="4" t="s">
        <v>5</v>
      </c>
      <c r="H17" s="4" t="s">
        <v>44</v>
      </c>
      <c r="I17" s="4" t="s">
        <v>86</v>
      </c>
    </row>
    <row r="18" customFormat="false" ht="23.85" hidden="false" customHeight="false" outlineLevel="0" collapsed="false">
      <c r="A18" s="10" t="s">
        <v>87</v>
      </c>
      <c r="B18" s="10" t="s">
        <v>72</v>
      </c>
      <c r="C18" s="10" t="s">
        <v>88</v>
      </c>
      <c r="D18" s="10" t="n">
        <v>3</v>
      </c>
      <c r="E18" s="10" t="s">
        <v>42</v>
      </c>
      <c r="F18" s="10" t="s">
        <v>54</v>
      </c>
      <c r="G18" s="10" t="s">
        <v>5</v>
      </c>
      <c r="H18" s="10" t="s">
        <v>44</v>
      </c>
      <c r="I18" s="10" t="s">
        <v>89</v>
      </c>
    </row>
    <row r="19" customFormat="false" ht="23.85" hidden="false" customHeight="false" outlineLevel="0" collapsed="false">
      <c r="A19" s="4" t="s">
        <v>90</v>
      </c>
      <c r="B19" s="4" t="s">
        <v>91</v>
      </c>
      <c r="C19" s="4" t="s">
        <v>92</v>
      </c>
      <c r="D19" s="4" t="n">
        <v>8</v>
      </c>
      <c r="E19" s="4" t="s">
        <v>58</v>
      </c>
      <c r="F19" s="4" t="s">
        <v>66</v>
      </c>
      <c r="G19" s="4" t="s">
        <v>5</v>
      </c>
      <c r="H19" s="4" t="s">
        <v>44</v>
      </c>
      <c r="I19" s="4" t="s">
        <v>93</v>
      </c>
    </row>
    <row r="20" customFormat="false" ht="23.85" hidden="false" customHeight="false" outlineLevel="0" collapsed="false">
      <c r="A20" s="10" t="s">
        <v>94</v>
      </c>
      <c r="B20" s="10" t="s">
        <v>91</v>
      </c>
      <c r="C20" s="10" t="s">
        <v>95</v>
      </c>
      <c r="D20" s="10" t="n">
        <v>5</v>
      </c>
      <c r="E20" s="10" t="s">
        <v>58</v>
      </c>
      <c r="F20" s="10" t="s">
        <v>66</v>
      </c>
      <c r="G20" s="10" t="s">
        <v>5</v>
      </c>
      <c r="H20" s="10" t="s">
        <v>44</v>
      </c>
      <c r="I20" s="10" t="s">
        <v>96</v>
      </c>
    </row>
    <row r="21" customFormat="false" ht="35.05" hidden="false" customHeight="false" outlineLevel="0" collapsed="false">
      <c r="A21" s="4" t="s">
        <v>97</v>
      </c>
      <c r="B21" s="4" t="s">
        <v>91</v>
      </c>
      <c r="C21" s="4" t="s">
        <v>98</v>
      </c>
      <c r="D21" s="4" t="n">
        <v>5</v>
      </c>
      <c r="E21" s="4" t="s">
        <v>58</v>
      </c>
      <c r="F21" s="4" t="s">
        <v>66</v>
      </c>
      <c r="G21" s="4" t="s">
        <v>5</v>
      </c>
      <c r="H21" s="4" t="s">
        <v>44</v>
      </c>
      <c r="I21" s="4" t="s">
        <v>99</v>
      </c>
    </row>
    <row r="22" customFormat="false" ht="35.05" hidden="false" customHeight="false" outlineLevel="0" collapsed="false">
      <c r="A22" s="10" t="s">
        <v>100</v>
      </c>
      <c r="B22" s="10" t="s">
        <v>101</v>
      </c>
      <c r="C22" s="10" t="s">
        <v>102</v>
      </c>
      <c r="D22" s="10" t="n">
        <v>8</v>
      </c>
      <c r="E22" s="10" t="s">
        <v>58</v>
      </c>
      <c r="F22" s="10" t="s">
        <v>66</v>
      </c>
      <c r="G22" s="10" t="s">
        <v>5</v>
      </c>
      <c r="H22" s="10" t="s">
        <v>44</v>
      </c>
      <c r="I22" s="10" t="s">
        <v>103</v>
      </c>
    </row>
    <row r="23" customFormat="false" ht="35.05" hidden="false" customHeight="false" outlineLevel="0" collapsed="false">
      <c r="A23" s="4" t="s">
        <v>104</v>
      </c>
      <c r="B23" s="4" t="s">
        <v>101</v>
      </c>
      <c r="C23" s="4" t="s">
        <v>105</v>
      </c>
      <c r="D23" s="4" t="n">
        <v>8</v>
      </c>
      <c r="E23" s="4" t="s">
        <v>58</v>
      </c>
      <c r="F23" s="4" t="s">
        <v>66</v>
      </c>
      <c r="G23" s="4" t="s">
        <v>5</v>
      </c>
      <c r="H23" s="4" t="s">
        <v>44</v>
      </c>
      <c r="I23" s="4" t="s">
        <v>106</v>
      </c>
    </row>
    <row r="24" customFormat="false" ht="23.85" hidden="false" customHeight="false" outlineLevel="0" collapsed="false">
      <c r="A24" s="10" t="s">
        <v>107</v>
      </c>
      <c r="B24" s="10" t="s">
        <v>108</v>
      </c>
      <c r="C24" s="10" t="s">
        <v>109</v>
      </c>
      <c r="D24" s="10" t="n">
        <v>8</v>
      </c>
      <c r="E24" s="10" t="s">
        <v>42</v>
      </c>
      <c r="F24" s="10" t="s">
        <v>54</v>
      </c>
      <c r="G24" s="10" t="s">
        <v>5</v>
      </c>
      <c r="H24" s="10" t="s">
        <v>44</v>
      </c>
      <c r="I24" s="10" t="s">
        <v>110</v>
      </c>
    </row>
    <row r="25" customFormat="false" ht="23.85" hidden="false" customHeight="false" outlineLevel="0" collapsed="false">
      <c r="A25" s="4" t="s">
        <v>111</v>
      </c>
      <c r="B25" s="4" t="s">
        <v>108</v>
      </c>
      <c r="C25" s="4" t="s">
        <v>112</v>
      </c>
      <c r="D25" s="4" t="n">
        <v>5</v>
      </c>
      <c r="E25" s="4" t="s">
        <v>42</v>
      </c>
      <c r="F25" s="4" t="s">
        <v>54</v>
      </c>
      <c r="G25" s="4" t="s">
        <v>5</v>
      </c>
      <c r="H25" s="4" t="s">
        <v>44</v>
      </c>
      <c r="I25" s="4" t="s">
        <v>113</v>
      </c>
    </row>
    <row r="26" customFormat="false" ht="23.85" hidden="false" customHeight="false" outlineLevel="0" collapsed="false">
      <c r="A26" s="10" t="s">
        <v>114</v>
      </c>
      <c r="B26" s="10" t="s">
        <v>108</v>
      </c>
      <c r="C26" s="10" t="s">
        <v>115</v>
      </c>
      <c r="D26" s="10" t="n">
        <v>5</v>
      </c>
      <c r="E26" s="10" t="s">
        <v>42</v>
      </c>
      <c r="F26" s="10" t="s">
        <v>54</v>
      </c>
      <c r="G26" s="10" t="s">
        <v>5</v>
      </c>
      <c r="H26" s="10" t="s">
        <v>44</v>
      </c>
      <c r="I26" s="10" t="s">
        <v>116</v>
      </c>
    </row>
    <row r="27" customFormat="false" ht="23.85" hidden="false" customHeight="false" outlineLevel="0" collapsed="false">
      <c r="A27" s="4" t="s">
        <v>117</v>
      </c>
      <c r="B27" s="4" t="s">
        <v>108</v>
      </c>
      <c r="C27" s="4" t="s">
        <v>118</v>
      </c>
      <c r="D27" s="4" t="n">
        <v>5</v>
      </c>
      <c r="E27" s="4" t="s">
        <v>119</v>
      </c>
      <c r="F27" s="4" t="s">
        <v>66</v>
      </c>
      <c r="G27" s="4" t="s">
        <v>5</v>
      </c>
      <c r="H27" s="4" t="s">
        <v>44</v>
      </c>
      <c r="I27" s="4" t="s">
        <v>120</v>
      </c>
    </row>
    <row r="28" customFormat="false" ht="23.85" hidden="false" customHeight="false" outlineLevel="0" collapsed="false">
      <c r="A28" s="10" t="s">
        <v>121</v>
      </c>
      <c r="B28" s="10" t="s">
        <v>108</v>
      </c>
      <c r="C28" s="10" t="s">
        <v>122</v>
      </c>
      <c r="D28" s="10" t="n">
        <v>3</v>
      </c>
      <c r="E28" s="10" t="s">
        <v>42</v>
      </c>
      <c r="F28" s="10" t="s">
        <v>123</v>
      </c>
      <c r="G28" s="10" t="s">
        <v>6</v>
      </c>
      <c r="H28" s="10" t="s">
        <v>44</v>
      </c>
      <c r="I28" s="10" t="s">
        <v>124</v>
      </c>
    </row>
    <row r="29" customFormat="false" ht="23.85" hidden="false" customHeight="false" outlineLevel="0" collapsed="false">
      <c r="A29" s="4" t="s">
        <v>125</v>
      </c>
      <c r="B29" s="4" t="s">
        <v>126</v>
      </c>
      <c r="C29" s="4" t="s">
        <v>127</v>
      </c>
      <c r="D29" s="4" t="n">
        <v>8</v>
      </c>
      <c r="E29" s="4" t="s">
        <v>119</v>
      </c>
      <c r="F29" s="4" t="s">
        <v>128</v>
      </c>
      <c r="G29" s="4" t="s">
        <v>9</v>
      </c>
      <c r="H29" s="4" t="s">
        <v>44</v>
      </c>
      <c r="I29" s="4" t="s">
        <v>129</v>
      </c>
    </row>
    <row r="30" customFormat="false" ht="23.85" hidden="false" customHeight="false" outlineLevel="0" collapsed="false">
      <c r="A30" s="10" t="s">
        <v>130</v>
      </c>
      <c r="B30" s="10" t="s">
        <v>126</v>
      </c>
      <c r="C30" s="10" t="s">
        <v>131</v>
      </c>
      <c r="D30" s="10" t="n">
        <v>5</v>
      </c>
      <c r="E30" s="10" t="s">
        <v>119</v>
      </c>
      <c r="F30" s="10" t="s">
        <v>128</v>
      </c>
      <c r="G30" s="10" t="s">
        <v>9</v>
      </c>
      <c r="H30" s="10" t="s">
        <v>44</v>
      </c>
      <c r="I30" s="10" t="s">
        <v>9</v>
      </c>
    </row>
    <row r="31" customFormat="false" ht="23.85" hidden="false" customHeight="false" outlineLevel="0" collapsed="false">
      <c r="A31" s="4" t="s">
        <v>132</v>
      </c>
      <c r="B31" s="4" t="s">
        <v>126</v>
      </c>
      <c r="C31" s="4" t="s">
        <v>133</v>
      </c>
      <c r="D31" s="4" t="n">
        <v>3</v>
      </c>
      <c r="E31" s="4" t="s">
        <v>119</v>
      </c>
      <c r="F31" s="4" t="s">
        <v>128</v>
      </c>
      <c r="G31" s="4" t="s">
        <v>9</v>
      </c>
      <c r="H31" s="4" t="s">
        <v>44</v>
      </c>
      <c r="I31" s="4" t="s">
        <v>9</v>
      </c>
    </row>
    <row r="32" customFormat="false" ht="23.85" hidden="false" customHeight="false" outlineLevel="0" collapsed="false">
      <c r="A32" s="10" t="s">
        <v>134</v>
      </c>
      <c r="B32" s="10" t="s">
        <v>135</v>
      </c>
      <c r="C32" s="10" t="s">
        <v>136</v>
      </c>
      <c r="D32" s="10" t="n">
        <v>5</v>
      </c>
      <c r="E32" s="10" t="s">
        <v>42</v>
      </c>
      <c r="F32" s="10" t="s">
        <v>123</v>
      </c>
      <c r="G32" s="10" t="s">
        <v>7</v>
      </c>
      <c r="H32" s="10" t="s">
        <v>44</v>
      </c>
      <c r="I32" s="10" t="s">
        <v>137</v>
      </c>
    </row>
    <row r="33" customFormat="false" ht="23.85" hidden="false" customHeight="false" outlineLevel="0" collapsed="false">
      <c r="A33" s="4" t="s">
        <v>138</v>
      </c>
      <c r="B33" s="4" t="s">
        <v>135</v>
      </c>
      <c r="C33" s="4" t="s">
        <v>139</v>
      </c>
      <c r="D33" s="4" t="n">
        <v>5</v>
      </c>
      <c r="E33" s="4" t="s">
        <v>42</v>
      </c>
      <c r="F33" s="4" t="s">
        <v>43</v>
      </c>
      <c r="G33" s="4" t="s">
        <v>5</v>
      </c>
      <c r="H33" s="4" t="s">
        <v>44</v>
      </c>
      <c r="I33" s="4" t="s">
        <v>140</v>
      </c>
    </row>
    <row r="34" customFormat="false" ht="23.85" hidden="false" customHeight="false" outlineLevel="0" collapsed="false">
      <c r="A34" s="10" t="s">
        <v>141</v>
      </c>
      <c r="B34" s="10" t="s">
        <v>135</v>
      </c>
      <c r="C34" s="10" t="s">
        <v>142</v>
      </c>
      <c r="D34" s="10" t="n">
        <v>5</v>
      </c>
      <c r="E34" s="10" t="s">
        <v>42</v>
      </c>
      <c r="F34" s="10" t="s">
        <v>123</v>
      </c>
      <c r="G34" s="10" t="s">
        <v>7</v>
      </c>
      <c r="H34" s="10" t="s">
        <v>44</v>
      </c>
      <c r="I34" s="10" t="s">
        <v>143</v>
      </c>
    </row>
    <row r="35" customFormat="false" ht="23.85" hidden="false" customHeight="false" outlineLevel="0" collapsed="false">
      <c r="A35" s="4" t="s">
        <v>144</v>
      </c>
      <c r="B35" s="4" t="s">
        <v>135</v>
      </c>
      <c r="C35" s="4" t="s">
        <v>145</v>
      </c>
      <c r="D35" s="4" t="n">
        <v>3</v>
      </c>
      <c r="E35" s="4" t="s">
        <v>42</v>
      </c>
      <c r="F35" s="4" t="s">
        <v>146</v>
      </c>
      <c r="G35" s="4" t="s">
        <v>7</v>
      </c>
      <c r="H35" s="4" t="s">
        <v>44</v>
      </c>
      <c r="I35" s="4" t="s">
        <v>147</v>
      </c>
    </row>
    <row r="36" customFormat="false" ht="35.05" hidden="false" customHeight="false" outlineLevel="0" collapsed="false">
      <c r="A36" s="10" t="s">
        <v>148</v>
      </c>
      <c r="B36" s="10" t="s">
        <v>40</v>
      </c>
      <c r="C36" s="10" t="s">
        <v>149</v>
      </c>
      <c r="D36" s="10" t="n">
        <v>5</v>
      </c>
      <c r="E36" s="10" t="s">
        <v>58</v>
      </c>
      <c r="F36" s="10" t="s">
        <v>66</v>
      </c>
      <c r="G36" s="10" t="s">
        <v>5</v>
      </c>
      <c r="H36" s="10" t="s">
        <v>150</v>
      </c>
      <c r="I36" s="10" t="s">
        <v>151</v>
      </c>
    </row>
    <row r="37" customFormat="false" ht="23.85" hidden="false" customHeight="false" outlineLevel="0" collapsed="false">
      <c r="A37" s="4" t="s">
        <v>152</v>
      </c>
      <c r="B37" s="4" t="s">
        <v>40</v>
      </c>
      <c r="C37" s="4" t="s">
        <v>153</v>
      </c>
      <c r="D37" s="4" t="n">
        <v>3</v>
      </c>
      <c r="E37" s="4" t="s">
        <v>58</v>
      </c>
      <c r="F37" s="4" t="s">
        <v>66</v>
      </c>
      <c r="G37" s="4" t="s">
        <v>5</v>
      </c>
      <c r="H37" s="4" t="s">
        <v>150</v>
      </c>
      <c r="I37" s="4" t="s">
        <v>154</v>
      </c>
    </row>
    <row r="38" customFormat="false" ht="35.05" hidden="false" customHeight="false" outlineLevel="0" collapsed="false">
      <c r="A38" s="10" t="s">
        <v>155</v>
      </c>
      <c r="B38" s="10" t="s">
        <v>61</v>
      </c>
      <c r="C38" s="10" t="s">
        <v>156</v>
      </c>
      <c r="D38" s="10" t="n">
        <v>8</v>
      </c>
      <c r="E38" s="10" t="s">
        <v>42</v>
      </c>
      <c r="F38" s="10" t="s">
        <v>66</v>
      </c>
      <c r="G38" s="10" t="s">
        <v>5</v>
      </c>
      <c r="H38" s="10" t="s">
        <v>150</v>
      </c>
      <c r="I38" s="10" t="s">
        <v>157</v>
      </c>
    </row>
    <row r="39" customFormat="false" ht="23.85" hidden="false" customHeight="false" outlineLevel="0" collapsed="false">
      <c r="A39" s="4" t="s">
        <v>158</v>
      </c>
      <c r="B39" s="4" t="s">
        <v>72</v>
      </c>
      <c r="C39" s="4" t="s">
        <v>159</v>
      </c>
      <c r="D39" s="4" t="n">
        <v>5</v>
      </c>
      <c r="E39" s="4" t="s">
        <v>58</v>
      </c>
      <c r="F39" s="4" t="s">
        <v>66</v>
      </c>
      <c r="G39" s="4" t="s">
        <v>5</v>
      </c>
      <c r="H39" s="4" t="s">
        <v>150</v>
      </c>
      <c r="I39" s="4" t="s">
        <v>160</v>
      </c>
    </row>
    <row r="40" customFormat="false" ht="23.85" hidden="false" customHeight="false" outlineLevel="0" collapsed="false">
      <c r="A40" s="10" t="s">
        <v>161</v>
      </c>
      <c r="B40" s="10" t="s">
        <v>108</v>
      </c>
      <c r="C40" s="10" t="s">
        <v>162</v>
      </c>
      <c r="D40" s="10" t="n">
        <v>8</v>
      </c>
      <c r="E40" s="10" t="s">
        <v>58</v>
      </c>
      <c r="F40" s="10" t="s">
        <v>66</v>
      </c>
      <c r="G40" s="10" t="s">
        <v>5</v>
      </c>
      <c r="H40" s="10" t="s">
        <v>150</v>
      </c>
      <c r="I40" s="10" t="s">
        <v>163</v>
      </c>
    </row>
    <row r="41" customFormat="false" ht="35.05" hidden="false" customHeight="false" outlineLevel="0" collapsed="false">
      <c r="A41" s="4" t="s">
        <v>164</v>
      </c>
      <c r="B41" s="4" t="s">
        <v>91</v>
      </c>
      <c r="C41" s="4" t="s">
        <v>165</v>
      </c>
      <c r="D41" s="4" t="n">
        <v>8</v>
      </c>
      <c r="E41" s="4" t="s">
        <v>58</v>
      </c>
      <c r="F41" s="4" t="s">
        <v>66</v>
      </c>
      <c r="G41" s="4" t="s">
        <v>5</v>
      </c>
      <c r="H41" s="4" t="s">
        <v>150</v>
      </c>
      <c r="I41" s="4" t="s">
        <v>166</v>
      </c>
    </row>
    <row r="42" customFormat="false" ht="23.85" hidden="false" customHeight="false" outlineLevel="0" collapsed="false">
      <c r="A42" s="10" t="s">
        <v>167</v>
      </c>
      <c r="B42" s="10" t="s">
        <v>135</v>
      </c>
      <c r="C42" s="10" t="s">
        <v>168</v>
      </c>
      <c r="D42" s="10" t="n">
        <v>5</v>
      </c>
      <c r="E42" s="10" t="s">
        <v>42</v>
      </c>
      <c r="F42" s="10" t="s">
        <v>123</v>
      </c>
      <c r="G42" s="10" t="s">
        <v>6</v>
      </c>
      <c r="H42" s="10" t="s">
        <v>150</v>
      </c>
      <c r="I42" s="10" t="s">
        <v>169</v>
      </c>
    </row>
    <row r="43" customFormat="false" ht="23.85" hidden="false" customHeight="false" outlineLevel="0" collapsed="false">
      <c r="A43" s="4" t="s">
        <v>170</v>
      </c>
      <c r="B43" s="4" t="s">
        <v>108</v>
      </c>
      <c r="C43" s="4" t="s">
        <v>171</v>
      </c>
      <c r="D43" s="4" t="n">
        <v>5</v>
      </c>
      <c r="E43" s="4" t="s">
        <v>58</v>
      </c>
      <c r="F43" s="4" t="s">
        <v>66</v>
      </c>
      <c r="G43" s="4" t="s">
        <v>5</v>
      </c>
      <c r="H43" s="4" t="s">
        <v>150</v>
      </c>
      <c r="I43" s="4" t="s">
        <v>172</v>
      </c>
    </row>
    <row r="44" customFormat="false" ht="35.05" hidden="false" customHeight="false" outlineLevel="0" collapsed="false">
      <c r="A44" s="10" t="s">
        <v>173</v>
      </c>
      <c r="B44" s="10" t="s">
        <v>108</v>
      </c>
      <c r="C44" s="10" t="s">
        <v>174</v>
      </c>
      <c r="D44" s="10" t="n">
        <v>5</v>
      </c>
      <c r="E44" s="10" t="s">
        <v>58</v>
      </c>
      <c r="F44" s="10" t="s">
        <v>66</v>
      </c>
      <c r="G44" s="10" t="s">
        <v>5</v>
      </c>
      <c r="H44" s="10" t="s">
        <v>150</v>
      </c>
      <c r="I44" s="10" t="s">
        <v>175</v>
      </c>
    </row>
    <row r="45" customFormat="false" ht="35.05" hidden="false" customHeight="false" outlineLevel="0" collapsed="false">
      <c r="A45" s="4" t="s">
        <v>176</v>
      </c>
      <c r="B45" s="4" t="s">
        <v>135</v>
      </c>
      <c r="C45" s="4" t="s">
        <v>177</v>
      </c>
      <c r="D45" s="4" t="n">
        <v>3</v>
      </c>
      <c r="E45" s="4" t="s">
        <v>42</v>
      </c>
      <c r="F45" s="4" t="s">
        <v>146</v>
      </c>
      <c r="G45" s="4" t="s">
        <v>7</v>
      </c>
      <c r="H45" s="4" t="s">
        <v>150</v>
      </c>
      <c r="I45" s="4" t="s">
        <v>178</v>
      </c>
    </row>
    <row r="46" customFormat="false" ht="23.85" hidden="false" customHeight="false" outlineLevel="0" collapsed="false">
      <c r="A46" s="10" t="s">
        <v>179</v>
      </c>
      <c r="B46" s="10" t="s">
        <v>135</v>
      </c>
      <c r="C46" s="10" t="s">
        <v>180</v>
      </c>
      <c r="D46" s="10" t="n">
        <v>2</v>
      </c>
      <c r="E46" s="10" t="s">
        <v>42</v>
      </c>
      <c r="F46" s="10" t="s">
        <v>146</v>
      </c>
      <c r="G46" s="10" t="s">
        <v>7</v>
      </c>
      <c r="H46" s="10" t="s">
        <v>150</v>
      </c>
      <c r="I46" s="10" t="s">
        <v>181</v>
      </c>
    </row>
    <row r="47" customFormat="false" ht="23.85" hidden="false" customHeight="false" outlineLevel="0" collapsed="false">
      <c r="A47" s="4" t="s">
        <v>182</v>
      </c>
      <c r="B47" s="4" t="s">
        <v>135</v>
      </c>
      <c r="C47" s="4" t="s">
        <v>183</v>
      </c>
      <c r="D47" s="4" t="n">
        <v>3</v>
      </c>
      <c r="E47" s="4" t="s">
        <v>58</v>
      </c>
      <c r="F47" s="4" t="s">
        <v>123</v>
      </c>
      <c r="G47" s="4" t="s">
        <v>7</v>
      </c>
      <c r="H47" s="4" t="s">
        <v>150</v>
      </c>
      <c r="I47" s="4" t="s">
        <v>184</v>
      </c>
    </row>
  </sheetData>
  <autoFilter ref="A4:I47"/>
  <conditionalFormatting sqref="G5:G47">
    <cfRule type="cellIs" priority="2" operator="equal" aboveAverage="0" equalAverage="0" bottom="0" percent="0" rank="0" text="" dxfId="8">
      <formula>"Terminada"</formula>
    </cfRule>
    <cfRule type="cellIs" priority="3" operator="equal" aboveAverage="0" equalAverage="0" bottom="0" percent="0" rank="0" text="" dxfId="9">
      <formula>"En curso"</formula>
    </cfRule>
    <cfRule type="cellIs" priority="4" operator="equal" aboveAverage="0" equalAverage="0" bottom="0" percent="0" rank="0" text="" dxfId="10">
      <formula>"No iniciada"</formula>
    </cfRule>
    <cfRule type="cellIs" priority="5" operator="equal" aboveAverage="0" equalAverage="0" bottom="0" percent="0" rank="0" text="" dxfId="11">
      <formula>"Fuera del compromiso"</formula>
    </cfRule>
  </conditionalFormatting>
  <dataValidations count="1">
    <dataValidation allowBlank="false" errorStyle="stop" operator="between" showDropDown="false" showErrorMessage="false" showInputMessage="false" sqref="G5:G47" type="list">
      <formula1>"Terminada,En curso,No iniciada,Fuera del compromiso"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185</v>
      </c>
    </row>
    <row r="3" customFormat="false" ht="15" hidden="false" customHeight="false" outlineLevel="0" collapsed="false">
      <c r="A3" s="3" t="s">
        <v>32</v>
      </c>
      <c r="B3" s="3" t="s">
        <v>186</v>
      </c>
      <c r="C3" s="3" t="s">
        <v>187</v>
      </c>
    </row>
    <row r="4" customFormat="false" ht="15" hidden="false" customHeight="false" outlineLevel="0" collapsed="false">
      <c r="A4" s="4" t="s">
        <v>121</v>
      </c>
      <c r="B4" s="4" t="s">
        <v>188</v>
      </c>
      <c r="C4" s="4" t="s">
        <v>189</v>
      </c>
    </row>
    <row r="5" customFormat="false" ht="15" hidden="false" customHeight="false" outlineLevel="0" collapsed="false">
      <c r="A5" s="4" t="s">
        <v>121</v>
      </c>
      <c r="B5" s="4" t="s">
        <v>188</v>
      </c>
      <c r="C5" s="4" t="s">
        <v>190</v>
      </c>
    </row>
    <row r="6" customFormat="false" ht="15" hidden="false" customHeight="false" outlineLevel="0" collapsed="false">
      <c r="A6" s="4" t="s">
        <v>121</v>
      </c>
      <c r="B6" s="4" t="s">
        <v>188</v>
      </c>
      <c r="C6" s="4" t="s">
        <v>191</v>
      </c>
    </row>
    <row r="7" customFormat="false" ht="15" hidden="false" customHeight="false" outlineLevel="0" collapsed="false">
      <c r="A7" s="10" t="s">
        <v>134</v>
      </c>
      <c r="B7" s="10" t="s">
        <v>192</v>
      </c>
      <c r="C7" s="10" t="s">
        <v>193</v>
      </c>
    </row>
    <row r="8" customFormat="false" ht="15" hidden="false" customHeight="false" outlineLevel="0" collapsed="false">
      <c r="A8" s="10" t="s">
        <v>134</v>
      </c>
      <c r="B8" s="10" t="s">
        <v>192</v>
      </c>
      <c r="C8" s="10" t="s">
        <v>194</v>
      </c>
    </row>
    <row r="9" customFormat="false" ht="15" hidden="false" customHeight="false" outlineLevel="0" collapsed="false">
      <c r="A9" s="10" t="s">
        <v>134</v>
      </c>
      <c r="B9" s="10" t="s">
        <v>192</v>
      </c>
      <c r="C9" s="10" t="s">
        <v>195</v>
      </c>
    </row>
    <row r="10" customFormat="false" ht="15" hidden="false" customHeight="false" outlineLevel="0" collapsed="false">
      <c r="A10" s="4" t="s">
        <v>141</v>
      </c>
      <c r="B10" s="4" t="s">
        <v>196</v>
      </c>
      <c r="C10" s="4" t="s">
        <v>197</v>
      </c>
    </row>
    <row r="11" customFormat="false" ht="15" hidden="false" customHeight="false" outlineLevel="0" collapsed="false">
      <c r="A11" s="4" t="s">
        <v>141</v>
      </c>
      <c r="B11" s="4" t="s">
        <v>196</v>
      </c>
      <c r="C11" s="4" t="s">
        <v>198</v>
      </c>
    </row>
    <row r="12" customFormat="false" ht="15" hidden="false" customHeight="false" outlineLevel="0" collapsed="false">
      <c r="A12" s="4" t="s">
        <v>141</v>
      </c>
      <c r="B12" s="4" t="s">
        <v>196</v>
      </c>
      <c r="C12" s="4" t="s">
        <v>199</v>
      </c>
    </row>
    <row r="13" customFormat="false" ht="15" hidden="false" customHeight="false" outlineLevel="0" collapsed="false">
      <c r="A13" s="10" t="s">
        <v>144</v>
      </c>
      <c r="B13" s="10" t="s">
        <v>200</v>
      </c>
      <c r="C13" s="10" t="s">
        <v>201</v>
      </c>
    </row>
    <row r="14" customFormat="false" ht="15" hidden="false" customHeight="false" outlineLevel="0" collapsed="false">
      <c r="A14" s="4" t="s">
        <v>167</v>
      </c>
      <c r="B14" s="4" t="s">
        <v>202</v>
      </c>
      <c r="C14" s="4" t="s">
        <v>203</v>
      </c>
    </row>
    <row r="15" customFormat="false" ht="15" hidden="false" customHeight="false" outlineLevel="0" collapsed="false">
      <c r="A15" s="4" t="s">
        <v>167</v>
      </c>
      <c r="B15" s="4" t="s">
        <v>202</v>
      </c>
      <c r="C15" s="4" t="s">
        <v>204</v>
      </c>
    </row>
    <row r="16" customFormat="false" ht="15" hidden="false" customHeight="false" outlineLevel="0" collapsed="false">
      <c r="A16" s="4" t="s">
        <v>167</v>
      </c>
      <c r="B16" s="4" t="s">
        <v>202</v>
      </c>
      <c r="C16" s="4" t="s">
        <v>205</v>
      </c>
    </row>
    <row r="17" customFormat="false" ht="15" hidden="false" customHeight="false" outlineLevel="0" collapsed="false">
      <c r="A17" s="10" t="s">
        <v>176</v>
      </c>
      <c r="B17" s="10" t="s">
        <v>206</v>
      </c>
      <c r="C17" s="10" t="s">
        <v>207</v>
      </c>
    </row>
    <row r="18" customFormat="false" ht="15" hidden="false" customHeight="false" outlineLevel="0" collapsed="false">
      <c r="A18" s="10" t="s">
        <v>176</v>
      </c>
      <c r="B18" s="10" t="s">
        <v>206</v>
      </c>
      <c r="C18" s="10" t="s">
        <v>208</v>
      </c>
    </row>
    <row r="19" customFormat="false" ht="15" hidden="false" customHeight="false" outlineLevel="0" collapsed="false">
      <c r="A19" s="4" t="s">
        <v>179</v>
      </c>
      <c r="B19" s="4" t="s">
        <v>209</v>
      </c>
      <c r="C19" s="4" t="s">
        <v>210</v>
      </c>
    </row>
    <row r="20" customFormat="false" ht="15" hidden="false" customHeight="false" outlineLevel="0" collapsed="false">
      <c r="A20" s="4" t="s">
        <v>179</v>
      </c>
      <c r="B20" s="4" t="s">
        <v>209</v>
      </c>
      <c r="C20" s="4" t="s">
        <v>211</v>
      </c>
    </row>
    <row r="21" customFormat="false" ht="15" hidden="false" customHeight="false" outlineLevel="0" collapsed="false">
      <c r="A21" s="10" t="s">
        <v>182</v>
      </c>
      <c r="B21" s="10" t="s">
        <v>212</v>
      </c>
      <c r="C21" s="10" t="s">
        <v>213</v>
      </c>
    </row>
    <row r="22" customFormat="false" ht="15" hidden="false" customHeight="false" outlineLevel="0" collapsed="false">
      <c r="A22" s="10" t="s">
        <v>182</v>
      </c>
      <c r="B22" s="10" t="s">
        <v>212</v>
      </c>
      <c r="C22" s="10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2026-10-05T21:28:22Z</dcterms:created>
  <dc:creator>openpyxl</dc:creator>
  <dc:description/>
  <dc:language>en-US</dc:language>
  <cp:lastModifiedBy/>
  <dcterms:modified xsi:type="dcterms:W3CDTF">2026-10-05T21:28:22Z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